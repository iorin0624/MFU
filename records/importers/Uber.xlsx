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amika-my.sharepoint.com/personal/k_iori_of_iori0624_jp/Documents/00 Office＆PDF/Uber記録/"/>
    </mc:Choice>
  </mc:AlternateContent>
  <xr:revisionPtr revIDLastSave="188" documentId="8_{7405AE76-48C5-4B60-8EBA-DCDA97FB37D4}" xr6:coauthVersionLast="47" xr6:coauthVersionMax="47" xr10:uidLastSave="{C13E87A9-160D-4A31-8461-E2DA50D6E1DC}"/>
  <bookViews>
    <workbookView xWindow="-110" yWindow="-110" windowWidth="38620" windowHeight="21100" activeTab="1" xr2:uid="{65F85DFE-F166-4A0E-A91D-1E5192D08020}"/>
  </bookViews>
  <sheets>
    <sheet name="一覧" sheetId="1" r:id="rId1"/>
    <sheet name="月ご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" i="2" a="1"/>
  <c r="F2" i="2" s="1"/>
  <c r="J3" i="2" a="1"/>
  <c r="J3" i="2" s="1"/>
  <c r="J4" i="2" a="1"/>
  <c r="J4" i="2" s="1"/>
  <c r="J5" i="2" a="1"/>
  <c r="J5" i="2" s="1"/>
  <c r="J6" i="2" a="1"/>
  <c r="J6" i="2" s="1"/>
  <c r="J7" i="2" a="1"/>
  <c r="J7" i="2" s="1"/>
  <c r="J8" i="2" a="1"/>
  <c r="J8" i="2" s="1"/>
  <c r="J9" i="2" a="1"/>
  <c r="J9" i="2" s="1"/>
  <c r="J10" i="2" a="1"/>
  <c r="J10" i="2" s="1"/>
  <c r="J11" i="2" a="1"/>
  <c r="J11" i="2" s="1"/>
  <c r="J12" i="2" a="1"/>
  <c r="J12" i="2" s="1"/>
  <c r="J13" i="2" a="1"/>
  <c r="J13" i="2" s="1"/>
  <c r="J15" i="2" a="1"/>
  <c r="J15" i="2" s="1"/>
  <c r="J16" i="2" a="1"/>
  <c r="J16" i="2" s="1"/>
  <c r="J17" i="2" a="1"/>
  <c r="J17" i="2" s="1"/>
  <c r="J18" i="2" a="1"/>
  <c r="J18" i="2" s="1"/>
  <c r="J19" i="2" a="1"/>
  <c r="J19" i="2" s="1"/>
  <c r="J20" i="2" a="1"/>
  <c r="J20" i="2" s="1"/>
  <c r="J21" i="2" a="1"/>
  <c r="J21" i="2" s="1"/>
  <c r="J22" i="2" a="1"/>
  <c r="J22" i="2" s="1"/>
  <c r="J23" i="2" a="1"/>
  <c r="J23" i="2" s="1"/>
  <c r="J24" i="2" a="1"/>
  <c r="J24" i="2" s="1"/>
  <c r="J25" i="2" a="1"/>
  <c r="J25" i="2" s="1"/>
  <c r="J2" i="2" a="1"/>
  <c r="J2" i="2" s="1"/>
  <c r="I3" i="2" a="1"/>
  <c r="I3" i="2" s="1"/>
  <c r="I4" i="2" a="1"/>
  <c r="I4" i="2" s="1"/>
  <c r="I5" i="2" a="1"/>
  <c r="I5" i="2" s="1"/>
  <c r="I6" i="2" a="1"/>
  <c r="I6" i="2" s="1"/>
  <c r="I7" i="2" a="1"/>
  <c r="I7" i="2" s="1"/>
  <c r="I8" i="2" a="1"/>
  <c r="I8" i="2" s="1"/>
  <c r="I9" i="2" a="1"/>
  <c r="I9" i="2" s="1"/>
  <c r="I10" i="2" a="1"/>
  <c r="I10" i="2" s="1"/>
  <c r="I11" i="2" a="1"/>
  <c r="I11" i="2" s="1"/>
  <c r="I12" i="2" a="1"/>
  <c r="I12" i="2" s="1"/>
  <c r="I13" i="2" a="1"/>
  <c r="I13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21" i="2" a="1"/>
  <c r="I21" i="2" s="1"/>
  <c r="I22" i="2" a="1"/>
  <c r="I22" i="2" s="1"/>
  <c r="I23" i="2" a="1"/>
  <c r="I23" i="2" s="1"/>
  <c r="I24" i="2" a="1"/>
  <c r="I24" i="2" s="1"/>
  <c r="I25" i="2" a="1"/>
  <c r="I25" i="2" s="1"/>
  <c r="I2" i="2" a="1"/>
  <c r="I2" i="2" s="1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3" i="2" a="1"/>
  <c r="C3" i="2" s="1"/>
  <c r="C4" i="2" a="1"/>
  <c r="C4" i="2" s="1"/>
  <c r="C5" i="2" a="1"/>
  <c r="C5" i="2" s="1"/>
  <c r="C2" i="2" a="1"/>
  <c r="C2" i="2" s="1"/>
  <c r="H3" i="2" a="1"/>
  <c r="H3" i="2" s="1"/>
  <c r="H4" i="2" a="1"/>
  <c r="H4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H22" i="2" a="1"/>
  <c r="H22" i="2" s="1"/>
  <c r="H23" i="2" a="1"/>
  <c r="H23" i="2" s="1"/>
  <c r="H24" i="2" a="1"/>
  <c r="H24" i="2" s="1"/>
  <c r="H25" i="2" a="1"/>
  <c r="H25" i="2" s="1"/>
  <c r="H2" i="2" a="1"/>
  <c r="H2" i="2" s="1"/>
  <c r="G2" i="2" a="1"/>
  <c r="G2" i="2" s="1"/>
  <c r="E3" i="2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E22" i="2" a="1"/>
  <c r="E22" i="2" s="1"/>
  <c r="E23" i="2" a="1"/>
  <c r="E23" i="2" s="1"/>
  <c r="E24" i="2" a="1"/>
  <c r="E24" i="2" s="1"/>
  <c r="E25" i="2" a="1"/>
  <c r="E25" i="2" s="1"/>
  <c r="E2" i="2" a="1"/>
  <c r="E2" i="2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" i="2" a="1"/>
  <c r="D2" i="2" s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I673" i="1" s="1"/>
  <c r="H673" i="1"/>
  <c r="G674" i="1"/>
  <c r="I674" i="1" s="1"/>
  <c r="H674" i="1"/>
  <c r="G675" i="1"/>
  <c r="H675" i="1"/>
  <c r="I675" i="1"/>
  <c r="G676" i="1"/>
  <c r="I676" i="1" s="1"/>
  <c r="H676" i="1"/>
  <c r="G677" i="1"/>
  <c r="I677" i="1" s="1"/>
  <c r="H677" i="1"/>
  <c r="G678" i="1"/>
  <c r="I678" i="1" s="1"/>
  <c r="H678" i="1"/>
  <c r="G679" i="1"/>
  <c r="H679" i="1"/>
  <c r="I679" i="1"/>
  <c r="G680" i="1"/>
  <c r="H680" i="1"/>
  <c r="I680" i="1"/>
  <c r="G681" i="1"/>
  <c r="I681" i="1" s="1"/>
  <c r="H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I689" i="1" s="1"/>
  <c r="H689" i="1"/>
  <c r="G690" i="1"/>
  <c r="I690" i="1" s="1"/>
  <c r="H690" i="1"/>
  <c r="G691" i="1"/>
  <c r="H691" i="1"/>
  <c r="I691" i="1"/>
  <c r="G692" i="1"/>
  <c r="I692" i="1" s="1"/>
  <c r="H692" i="1"/>
  <c r="G693" i="1"/>
  <c r="I693" i="1" s="1"/>
  <c r="H693" i="1"/>
  <c r="G694" i="1"/>
  <c r="I694" i="1" s="1"/>
  <c r="H694" i="1"/>
  <c r="G695" i="1"/>
  <c r="H695" i="1"/>
  <c r="I695" i="1"/>
  <c r="G696" i="1"/>
  <c r="H696" i="1"/>
  <c r="I696" i="1"/>
  <c r="G697" i="1"/>
  <c r="I697" i="1" s="1"/>
  <c r="H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I705" i="1" s="1"/>
  <c r="H705" i="1"/>
  <c r="G706" i="1"/>
  <c r="I706" i="1" s="1"/>
  <c r="H706" i="1"/>
  <c r="G707" i="1"/>
  <c r="H707" i="1"/>
  <c r="I707" i="1"/>
  <c r="G708" i="1"/>
  <c r="H708" i="1"/>
  <c r="I708" i="1"/>
  <c r="G709" i="1"/>
  <c r="I709" i="1" s="1"/>
  <c r="H709" i="1"/>
  <c r="G710" i="1"/>
  <c r="I710" i="1" s="1"/>
  <c r="H710" i="1"/>
  <c r="G711" i="1"/>
  <c r="H711" i="1"/>
  <c r="I711" i="1"/>
  <c r="G712" i="1"/>
  <c r="H712" i="1"/>
  <c r="I712" i="1"/>
  <c r="G713" i="1"/>
  <c r="I713" i="1" s="1"/>
  <c r="H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I721" i="1" s="1"/>
  <c r="H721" i="1"/>
  <c r="G722" i="1"/>
  <c r="I722" i="1" s="1"/>
  <c r="H722" i="1"/>
  <c r="G723" i="1"/>
  <c r="H723" i="1"/>
  <c r="I723" i="1"/>
  <c r="G724" i="1"/>
  <c r="H724" i="1"/>
  <c r="I724" i="1"/>
  <c r="G725" i="1"/>
  <c r="I725" i="1" s="1"/>
  <c r="H725" i="1"/>
  <c r="G726" i="1"/>
  <c r="I726" i="1" s="1"/>
  <c r="H726" i="1"/>
  <c r="G727" i="1"/>
  <c r="H727" i="1"/>
  <c r="I727" i="1"/>
  <c r="G728" i="1"/>
  <c r="H728" i="1"/>
  <c r="I728" i="1"/>
  <c r="G729" i="1"/>
  <c r="I729" i="1" s="1"/>
  <c r="H729" i="1"/>
  <c r="G730" i="1"/>
  <c r="H730" i="1"/>
  <c r="I730" i="1"/>
  <c r="G731" i="1"/>
  <c r="H731" i="1"/>
  <c r="I731" i="1"/>
  <c r="G439" i="1"/>
  <c r="I439" i="1" s="1"/>
  <c r="H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I444" i="1" s="1"/>
  <c r="H444" i="1"/>
  <c r="G445" i="1"/>
  <c r="H445" i="1"/>
  <c r="I445" i="1"/>
  <c r="G446" i="1"/>
  <c r="I446" i="1" s="1"/>
  <c r="H446" i="1"/>
  <c r="G447" i="1"/>
  <c r="H447" i="1"/>
  <c r="I447" i="1"/>
  <c r="G448" i="1"/>
  <c r="H448" i="1"/>
  <c r="I448" i="1"/>
  <c r="G449" i="1"/>
  <c r="I449" i="1" s="1"/>
  <c r="H449" i="1"/>
  <c r="G450" i="1"/>
  <c r="H450" i="1"/>
  <c r="I450" i="1"/>
  <c r="G451" i="1"/>
  <c r="I451" i="1" s="1"/>
  <c r="H451" i="1"/>
  <c r="G452" i="1"/>
  <c r="H452" i="1"/>
  <c r="I452" i="1"/>
  <c r="G453" i="1"/>
  <c r="I453" i="1" s="1"/>
  <c r="H453" i="1"/>
  <c r="G454" i="1"/>
  <c r="H454" i="1"/>
  <c r="I454" i="1"/>
  <c r="G455" i="1"/>
  <c r="I455" i="1" s="1"/>
  <c r="H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I460" i="1" s="1"/>
  <c r="H460" i="1"/>
  <c r="G461" i="1"/>
  <c r="H461" i="1"/>
  <c r="I461" i="1"/>
  <c r="G462" i="1"/>
  <c r="I462" i="1" s="1"/>
  <c r="H462" i="1"/>
  <c r="G463" i="1"/>
  <c r="H463" i="1"/>
  <c r="I463" i="1"/>
  <c r="G464" i="1"/>
  <c r="H464" i="1"/>
  <c r="I464" i="1"/>
  <c r="G465" i="1"/>
  <c r="I465" i="1" s="1"/>
  <c r="H465" i="1"/>
  <c r="G466" i="1"/>
  <c r="H466" i="1"/>
  <c r="I466" i="1"/>
  <c r="G467" i="1"/>
  <c r="I467" i="1" s="1"/>
  <c r="H467" i="1"/>
  <c r="G468" i="1"/>
  <c r="H468" i="1"/>
  <c r="I468" i="1"/>
  <c r="G469" i="1"/>
  <c r="I469" i="1" s="1"/>
  <c r="H469" i="1"/>
  <c r="G470" i="1"/>
  <c r="H470" i="1"/>
  <c r="I470" i="1"/>
  <c r="G471" i="1"/>
  <c r="I471" i="1" s="1"/>
  <c r="H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I476" i="1" s="1"/>
  <c r="H476" i="1"/>
  <c r="G477" i="1"/>
  <c r="H477" i="1"/>
  <c r="I477" i="1"/>
  <c r="G478" i="1"/>
  <c r="I478" i="1" s="1"/>
  <c r="H478" i="1"/>
  <c r="G479" i="1"/>
  <c r="H479" i="1"/>
  <c r="I479" i="1"/>
  <c r="G480" i="1"/>
  <c r="H480" i="1"/>
  <c r="I480" i="1"/>
  <c r="G481" i="1"/>
  <c r="I481" i="1" s="1"/>
  <c r="H481" i="1"/>
  <c r="G482" i="1"/>
  <c r="H482" i="1"/>
  <c r="I482" i="1"/>
  <c r="G483" i="1"/>
  <c r="I483" i="1" s="1"/>
  <c r="H483" i="1"/>
  <c r="G484" i="1"/>
  <c r="H484" i="1"/>
  <c r="I484" i="1"/>
  <c r="G485" i="1"/>
  <c r="I485" i="1" s="1"/>
  <c r="H485" i="1"/>
  <c r="G486" i="1"/>
  <c r="H486" i="1"/>
  <c r="I486" i="1"/>
  <c r="G487" i="1"/>
  <c r="I487" i="1" s="1"/>
  <c r="H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I492" i="1" s="1"/>
  <c r="H492" i="1"/>
  <c r="G493" i="1"/>
  <c r="H493" i="1"/>
  <c r="I493" i="1"/>
  <c r="G494" i="1"/>
  <c r="I494" i="1" s="1"/>
  <c r="H494" i="1"/>
  <c r="G495" i="1"/>
  <c r="H495" i="1"/>
  <c r="I495" i="1"/>
  <c r="G496" i="1"/>
  <c r="H496" i="1"/>
  <c r="I496" i="1"/>
  <c r="G497" i="1"/>
  <c r="I497" i="1" s="1"/>
  <c r="H497" i="1"/>
  <c r="G498" i="1"/>
  <c r="H498" i="1"/>
  <c r="I498" i="1"/>
  <c r="G499" i="1"/>
  <c r="I499" i="1" s="1"/>
  <c r="H499" i="1"/>
  <c r="G500" i="1"/>
  <c r="H500" i="1"/>
  <c r="I500" i="1"/>
  <c r="G501" i="1"/>
  <c r="I501" i="1" s="1"/>
  <c r="H501" i="1"/>
  <c r="G502" i="1"/>
  <c r="H502" i="1"/>
  <c r="I502" i="1"/>
  <c r="G503" i="1"/>
  <c r="I503" i="1" s="1"/>
  <c r="H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I508" i="1" s="1"/>
  <c r="H508" i="1"/>
  <c r="G509" i="1"/>
  <c r="H509" i="1"/>
  <c r="I509" i="1"/>
  <c r="G510" i="1"/>
  <c r="I510" i="1" s="1"/>
  <c r="H510" i="1"/>
  <c r="G511" i="1"/>
  <c r="H511" i="1"/>
  <c r="I511" i="1"/>
  <c r="G512" i="1"/>
  <c r="H512" i="1"/>
  <c r="I512" i="1"/>
  <c r="G513" i="1"/>
  <c r="I513" i="1" s="1"/>
  <c r="H513" i="1"/>
  <c r="G514" i="1"/>
  <c r="H514" i="1"/>
  <c r="I514" i="1"/>
  <c r="G515" i="1"/>
  <c r="I515" i="1" s="1"/>
  <c r="H515" i="1"/>
  <c r="G516" i="1"/>
  <c r="H516" i="1"/>
  <c r="I516" i="1"/>
  <c r="G517" i="1"/>
  <c r="I517" i="1" s="1"/>
  <c r="H517" i="1"/>
  <c r="G518" i="1"/>
  <c r="H518" i="1"/>
  <c r="I518" i="1"/>
  <c r="G519" i="1"/>
  <c r="I519" i="1" s="1"/>
  <c r="H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I524" i="1" s="1"/>
  <c r="H524" i="1"/>
  <c r="G525" i="1"/>
  <c r="H525" i="1"/>
  <c r="I525" i="1"/>
  <c r="G526" i="1"/>
  <c r="I526" i="1" s="1"/>
  <c r="H526" i="1"/>
  <c r="G527" i="1"/>
  <c r="H527" i="1"/>
  <c r="I527" i="1"/>
  <c r="G528" i="1"/>
  <c r="H528" i="1"/>
  <c r="I528" i="1"/>
  <c r="G529" i="1"/>
  <c r="I529" i="1" s="1"/>
  <c r="H529" i="1"/>
  <c r="G530" i="1"/>
  <c r="H530" i="1"/>
  <c r="I530" i="1"/>
  <c r="G531" i="1"/>
  <c r="I531" i="1" s="1"/>
  <c r="H531" i="1"/>
  <c r="G532" i="1"/>
  <c r="H532" i="1"/>
  <c r="I532" i="1"/>
  <c r="G533" i="1"/>
  <c r="I533" i="1" s="1"/>
  <c r="H533" i="1"/>
  <c r="G534" i="1"/>
  <c r="H534" i="1"/>
  <c r="I534" i="1"/>
  <c r="G535" i="1"/>
  <c r="I535" i="1" s="1"/>
  <c r="H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I540" i="1" s="1"/>
  <c r="H540" i="1"/>
  <c r="G541" i="1"/>
  <c r="H541" i="1"/>
  <c r="I541" i="1"/>
  <c r="G542" i="1"/>
  <c r="I542" i="1" s="1"/>
  <c r="H542" i="1"/>
  <c r="G543" i="1"/>
  <c r="H543" i="1"/>
  <c r="I543" i="1"/>
  <c r="G544" i="1"/>
  <c r="H544" i="1"/>
  <c r="I544" i="1"/>
  <c r="G545" i="1"/>
  <c r="I545" i="1" s="1"/>
  <c r="H545" i="1"/>
  <c r="G546" i="1"/>
  <c r="H546" i="1"/>
  <c r="I546" i="1"/>
  <c r="G547" i="1"/>
  <c r="I547" i="1" s="1"/>
  <c r="H547" i="1"/>
  <c r="G548" i="1"/>
  <c r="H548" i="1"/>
  <c r="I548" i="1"/>
  <c r="G549" i="1"/>
  <c r="I549" i="1" s="1"/>
  <c r="H549" i="1"/>
  <c r="G550" i="1"/>
  <c r="H550" i="1"/>
  <c r="I550" i="1"/>
  <c r="G551" i="1"/>
  <c r="I551" i="1" s="1"/>
  <c r="H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I556" i="1" s="1"/>
  <c r="H556" i="1"/>
  <c r="G557" i="1"/>
  <c r="H557" i="1"/>
  <c r="I557" i="1"/>
  <c r="G558" i="1"/>
  <c r="I558" i="1" s="1"/>
  <c r="H558" i="1"/>
  <c r="G559" i="1"/>
  <c r="H559" i="1"/>
  <c r="I559" i="1"/>
  <c r="G560" i="1"/>
  <c r="H560" i="1"/>
  <c r="I560" i="1"/>
  <c r="G561" i="1"/>
  <c r="I561" i="1" s="1"/>
  <c r="H561" i="1"/>
  <c r="G562" i="1"/>
  <c r="H562" i="1"/>
  <c r="I562" i="1"/>
  <c r="G563" i="1"/>
  <c r="I563" i="1" s="1"/>
  <c r="H563" i="1"/>
  <c r="G564" i="1"/>
  <c r="H564" i="1"/>
  <c r="I564" i="1"/>
  <c r="G565" i="1"/>
  <c r="I565" i="1" s="1"/>
  <c r="H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I572" i="1" s="1"/>
  <c r="H572" i="1"/>
  <c r="G573" i="1"/>
  <c r="H573" i="1"/>
  <c r="I573" i="1"/>
  <c r="G574" i="1"/>
  <c r="I574" i="1" s="1"/>
  <c r="H574" i="1"/>
  <c r="G575" i="1"/>
  <c r="H575" i="1"/>
  <c r="I575" i="1"/>
  <c r="G576" i="1"/>
  <c r="H576" i="1"/>
  <c r="I576" i="1"/>
  <c r="G577" i="1"/>
  <c r="I577" i="1" s="1"/>
  <c r="H577" i="1"/>
  <c r="G578" i="1"/>
  <c r="H578" i="1"/>
  <c r="I578" i="1"/>
  <c r="G579" i="1"/>
  <c r="I579" i="1" s="1"/>
  <c r="H579" i="1"/>
  <c r="G580" i="1"/>
  <c r="H580" i="1"/>
  <c r="I580" i="1"/>
  <c r="G581" i="1"/>
  <c r="I581" i="1" s="1"/>
  <c r="H581" i="1"/>
  <c r="G582" i="1"/>
  <c r="H582" i="1"/>
  <c r="I582" i="1"/>
  <c r="G583" i="1"/>
  <c r="I583" i="1" s="1"/>
  <c r="H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I588" i="1" s="1"/>
  <c r="H588" i="1"/>
  <c r="G589" i="1"/>
  <c r="H589" i="1"/>
  <c r="I589" i="1"/>
  <c r="G590" i="1"/>
  <c r="I590" i="1" s="1"/>
  <c r="H590" i="1"/>
  <c r="G591" i="1"/>
  <c r="H591" i="1"/>
  <c r="I591" i="1"/>
  <c r="G592" i="1"/>
  <c r="H592" i="1"/>
  <c r="I592" i="1"/>
  <c r="G593" i="1"/>
  <c r="I593" i="1" s="1"/>
  <c r="H593" i="1"/>
  <c r="G594" i="1"/>
  <c r="H594" i="1"/>
  <c r="I594" i="1"/>
  <c r="G595" i="1"/>
  <c r="I595" i="1" s="1"/>
  <c r="H595" i="1"/>
  <c r="G596" i="1"/>
  <c r="H596" i="1"/>
  <c r="I596" i="1"/>
  <c r="G597" i="1"/>
  <c r="I597" i="1" s="1"/>
  <c r="H597" i="1"/>
  <c r="G598" i="1"/>
  <c r="H598" i="1"/>
  <c r="I598" i="1"/>
  <c r="G599" i="1"/>
  <c r="I599" i="1" s="1"/>
  <c r="H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I604" i="1" s="1"/>
  <c r="H604" i="1"/>
  <c r="G605" i="1"/>
  <c r="H605" i="1"/>
  <c r="I605" i="1"/>
  <c r="G606" i="1"/>
  <c r="I606" i="1" s="1"/>
  <c r="H606" i="1"/>
  <c r="G607" i="1"/>
  <c r="H607" i="1"/>
  <c r="I607" i="1"/>
  <c r="G608" i="1"/>
  <c r="H608" i="1"/>
  <c r="I608" i="1"/>
  <c r="G609" i="1"/>
  <c r="I609" i="1" s="1"/>
  <c r="H609" i="1"/>
  <c r="G610" i="1"/>
  <c r="I610" i="1" s="1"/>
  <c r="H610" i="1"/>
  <c r="G611" i="1"/>
  <c r="I611" i="1" s="1"/>
  <c r="H611" i="1"/>
  <c r="G612" i="1"/>
  <c r="H612" i="1"/>
  <c r="I612" i="1"/>
  <c r="G613" i="1"/>
  <c r="I613" i="1" s="1"/>
  <c r="H613" i="1"/>
  <c r="G614" i="1"/>
  <c r="H614" i="1"/>
  <c r="I614" i="1"/>
  <c r="G615" i="1"/>
  <c r="I615" i="1" s="1"/>
  <c r="H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I620" i="1" s="1"/>
  <c r="H620" i="1"/>
  <c r="G621" i="1"/>
  <c r="H621" i="1"/>
  <c r="I621" i="1"/>
  <c r="G622" i="1"/>
  <c r="I622" i="1" s="1"/>
  <c r="H622" i="1"/>
  <c r="G623" i="1"/>
  <c r="H623" i="1"/>
  <c r="I623" i="1"/>
  <c r="G624" i="1"/>
  <c r="H624" i="1"/>
  <c r="I624" i="1"/>
  <c r="G625" i="1"/>
  <c r="I625" i="1" s="1"/>
  <c r="H625" i="1"/>
  <c r="G626" i="1"/>
  <c r="H626" i="1"/>
  <c r="I626" i="1"/>
  <c r="G627" i="1"/>
  <c r="I627" i="1" s="1"/>
  <c r="H627" i="1"/>
  <c r="G628" i="1"/>
  <c r="H628" i="1"/>
  <c r="I628" i="1"/>
  <c r="G629" i="1"/>
  <c r="I629" i="1" s="1"/>
  <c r="H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I636" i="1" s="1"/>
  <c r="H636" i="1"/>
  <c r="G637" i="1"/>
  <c r="H637" i="1"/>
  <c r="I637" i="1"/>
  <c r="G638" i="1"/>
  <c r="I638" i="1" s="1"/>
  <c r="H638" i="1"/>
  <c r="G639" i="1"/>
  <c r="H639" i="1"/>
  <c r="I639" i="1"/>
  <c r="G640" i="1"/>
  <c r="H640" i="1"/>
  <c r="I640" i="1"/>
  <c r="G641" i="1"/>
  <c r="I641" i="1" s="1"/>
  <c r="H641" i="1"/>
  <c r="G642" i="1"/>
  <c r="I642" i="1" s="1"/>
  <c r="H642" i="1"/>
  <c r="G643" i="1"/>
  <c r="I643" i="1" s="1"/>
  <c r="H643" i="1"/>
  <c r="G644" i="1"/>
  <c r="H644" i="1"/>
  <c r="I644" i="1"/>
  <c r="G645" i="1"/>
  <c r="I645" i="1" s="1"/>
  <c r="H645" i="1"/>
  <c r="G646" i="1"/>
  <c r="H646" i="1"/>
  <c r="I646" i="1"/>
  <c r="G647" i="1"/>
  <c r="I647" i="1" s="1"/>
  <c r="H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I652" i="1" s="1"/>
  <c r="H652" i="1"/>
  <c r="G653" i="1"/>
  <c r="H653" i="1"/>
  <c r="I653" i="1"/>
  <c r="G654" i="1"/>
  <c r="I654" i="1" s="1"/>
  <c r="H654" i="1"/>
  <c r="G655" i="1"/>
  <c r="H655" i="1"/>
  <c r="I655" i="1"/>
  <c r="G656" i="1"/>
  <c r="H656" i="1"/>
  <c r="I656" i="1"/>
  <c r="G657" i="1"/>
  <c r="I657" i="1" s="1"/>
  <c r="H657" i="1"/>
  <c r="G658" i="1"/>
  <c r="I658" i="1" s="1"/>
  <c r="H658" i="1"/>
  <c r="G659" i="1"/>
  <c r="I659" i="1" s="1"/>
  <c r="H659" i="1"/>
  <c r="G660" i="1"/>
  <c r="H660" i="1"/>
  <c r="I660" i="1"/>
  <c r="G661" i="1"/>
  <c r="I661" i="1" s="1"/>
  <c r="H661" i="1"/>
  <c r="G662" i="1"/>
  <c r="H662" i="1"/>
  <c r="I662" i="1"/>
  <c r="G663" i="1"/>
  <c r="I663" i="1" s="1"/>
  <c r="H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398" i="1"/>
  <c r="H398" i="1"/>
  <c r="I398" i="1"/>
  <c r="G399" i="1"/>
  <c r="H399" i="1"/>
  <c r="I399" i="1"/>
  <c r="G400" i="1"/>
  <c r="I400" i="1" s="1"/>
  <c r="H400" i="1"/>
  <c r="G401" i="1"/>
  <c r="H401" i="1"/>
  <c r="I401" i="1"/>
  <c r="G402" i="1"/>
  <c r="H402" i="1"/>
  <c r="I402" i="1"/>
  <c r="G403" i="1"/>
  <c r="I403" i="1" s="1"/>
  <c r="H403" i="1"/>
  <c r="G404" i="1"/>
  <c r="I404" i="1" s="1"/>
  <c r="H404" i="1"/>
  <c r="G405" i="1"/>
  <c r="H405" i="1"/>
  <c r="I405" i="1"/>
  <c r="G406" i="1"/>
  <c r="H406" i="1"/>
  <c r="I406" i="1"/>
  <c r="G407" i="1"/>
  <c r="H407" i="1"/>
  <c r="I407" i="1"/>
  <c r="G408" i="1"/>
  <c r="I408" i="1" s="1"/>
  <c r="H408" i="1"/>
  <c r="G409" i="1"/>
  <c r="I409" i="1" s="1"/>
  <c r="H409" i="1"/>
  <c r="G410" i="1"/>
  <c r="H410" i="1"/>
  <c r="I410" i="1"/>
  <c r="G411" i="1"/>
  <c r="I411" i="1" s="1"/>
  <c r="H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I416" i="1" s="1"/>
  <c r="H416" i="1"/>
  <c r="G417" i="1"/>
  <c r="H417" i="1"/>
  <c r="I417" i="1"/>
  <c r="G418" i="1"/>
  <c r="H418" i="1"/>
  <c r="I418" i="1"/>
  <c r="G419" i="1"/>
  <c r="I419" i="1" s="1"/>
  <c r="H419" i="1"/>
  <c r="G420" i="1"/>
  <c r="I420" i="1" s="1"/>
  <c r="H420" i="1"/>
  <c r="G421" i="1"/>
  <c r="H421" i="1"/>
  <c r="I421" i="1"/>
  <c r="G422" i="1"/>
  <c r="H422" i="1"/>
  <c r="I422" i="1"/>
  <c r="G423" i="1"/>
  <c r="H423" i="1"/>
  <c r="I423" i="1"/>
  <c r="G424" i="1"/>
  <c r="I424" i="1" s="1"/>
  <c r="H424" i="1"/>
  <c r="G425" i="1"/>
  <c r="I425" i="1" s="1"/>
  <c r="H425" i="1"/>
  <c r="G426" i="1"/>
  <c r="H426" i="1"/>
  <c r="I426" i="1"/>
  <c r="G427" i="1"/>
  <c r="I427" i="1" s="1"/>
  <c r="H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I432" i="1" s="1"/>
  <c r="H432" i="1"/>
  <c r="G433" i="1"/>
  <c r="H433" i="1"/>
  <c r="I433" i="1"/>
  <c r="G434" i="1"/>
  <c r="I434" i="1" s="1"/>
  <c r="H434" i="1"/>
  <c r="G435" i="1"/>
  <c r="I435" i="1" s="1"/>
  <c r="H435" i="1"/>
  <c r="G436" i="1"/>
  <c r="I436" i="1" s="1"/>
  <c r="H436" i="1"/>
  <c r="G437" i="1"/>
  <c r="H437" i="1"/>
  <c r="I437" i="1"/>
  <c r="G438" i="1"/>
  <c r="H438" i="1"/>
  <c r="I438" i="1"/>
  <c r="H70" i="1"/>
  <c r="G70" i="1"/>
  <c r="I70" i="1" s="1"/>
  <c r="H71" i="1"/>
  <c r="G71" i="1"/>
  <c r="I71" i="1" s="1"/>
  <c r="H72" i="1"/>
  <c r="G72" i="1"/>
  <c r="I72" i="1" s="1"/>
  <c r="G2" i="1"/>
  <c r="I2" i="1" s="1"/>
  <c r="G3" i="1"/>
  <c r="I3" i="1" s="1"/>
  <c r="G4" i="1"/>
  <c r="I4" i="1" s="1"/>
  <c r="G5" i="1"/>
  <c r="I5" i="1" s="1"/>
  <c r="G6" i="1"/>
  <c r="I6" i="1" s="1"/>
  <c r="G7" i="1"/>
  <c r="I7" i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/>
  <c r="G18" i="1"/>
  <c r="I18" i="1" s="1"/>
  <c r="G19" i="1"/>
  <c r="I19" i="1"/>
  <c r="G20" i="1"/>
  <c r="I20" i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/>
  <c r="G36" i="1"/>
  <c r="I36" i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/>
  <c r="G56" i="1"/>
  <c r="I56" i="1" s="1"/>
  <c r="G57" i="1"/>
  <c r="I57" i="1" s="1"/>
  <c r="G58" i="1"/>
  <c r="I58" i="1" s="1"/>
  <c r="G59" i="1"/>
  <c r="I59" i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4" i="1"/>
  <c r="I74" i="1" s="1"/>
  <c r="G75" i="1"/>
  <c r="I75" i="1" s="1"/>
  <c r="G73" i="1"/>
  <c r="I73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/>
  <c r="G93" i="1"/>
  <c r="I93" i="1" s="1"/>
  <c r="G94" i="1"/>
  <c r="I94" i="1" s="1"/>
  <c r="G95" i="1"/>
  <c r="I95" i="1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4" i="1"/>
  <c r="H75" i="1"/>
  <c r="H73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G96" i="1"/>
  <c r="I96" i="1" s="1"/>
  <c r="G97" i="1"/>
  <c r="I97" i="1" s="1"/>
  <c r="G98" i="1"/>
  <c r="I98" i="1" s="1"/>
  <c r="G99" i="1"/>
  <c r="I99" i="1" s="1"/>
  <c r="G100" i="1"/>
  <c r="I100" i="1" s="1"/>
  <c r="G101" i="1"/>
  <c r="I101" i="1" s="1"/>
  <c r="G102" i="1"/>
  <c r="I102" i="1" s="1"/>
  <c r="G103" i="1"/>
  <c r="I103" i="1" s="1"/>
  <c r="G104" i="1"/>
  <c r="I104" i="1" s="1"/>
  <c r="G105" i="1"/>
  <c r="I105" i="1" s="1"/>
  <c r="G106" i="1"/>
  <c r="I106" i="1" s="1"/>
  <c r="G107" i="1"/>
  <c r="I107" i="1" s="1"/>
  <c r="G108" i="1"/>
  <c r="I108" i="1" s="1"/>
  <c r="G109" i="1"/>
  <c r="I109" i="1" s="1"/>
  <c r="G110" i="1"/>
  <c r="I110" i="1" s="1"/>
  <c r="G111" i="1"/>
  <c r="I111" i="1" s="1"/>
  <c r="G112" i="1"/>
  <c r="I112" i="1" s="1"/>
  <c r="G113" i="1"/>
  <c r="I113" i="1" s="1"/>
  <c r="G114" i="1"/>
  <c r="I114" i="1" s="1"/>
  <c r="G115" i="1"/>
  <c r="I115" i="1" s="1"/>
  <c r="G116" i="1"/>
  <c r="I116" i="1" s="1"/>
  <c r="G117" i="1"/>
  <c r="I117" i="1" s="1"/>
  <c r="G118" i="1"/>
  <c r="I118" i="1" s="1"/>
  <c r="G119" i="1"/>
  <c r="I119" i="1" s="1"/>
  <c r="G120" i="1"/>
  <c r="I120" i="1" s="1"/>
  <c r="G121" i="1"/>
  <c r="I121" i="1" s="1"/>
  <c r="G122" i="1"/>
  <c r="I122" i="1" s="1"/>
  <c r="G123" i="1"/>
  <c r="I123" i="1" s="1"/>
  <c r="G124" i="1"/>
  <c r="I124" i="1" s="1"/>
  <c r="G125" i="1"/>
  <c r="I125" i="1" s="1"/>
  <c r="G126" i="1"/>
  <c r="I126" i="1" s="1"/>
  <c r="G127" i="1"/>
  <c r="I127" i="1" s="1"/>
  <c r="G128" i="1"/>
  <c r="I128" i="1" s="1"/>
  <c r="G129" i="1"/>
  <c r="I129" i="1" s="1"/>
  <c r="G130" i="1"/>
  <c r="I130" i="1" s="1"/>
  <c r="G131" i="1"/>
  <c r="I131" i="1" s="1"/>
  <c r="G132" i="1"/>
  <c r="I132" i="1" s="1"/>
  <c r="G133" i="1"/>
  <c r="I133" i="1" s="1"/>
  <c r="G134" i="1"/>
  <c r="I134" i="1" s="1"/>
  <c r="G135" i="1"/>
  <c r="I135" i="1" s="1"/>
  <c r="G136" i="1"/>
  <c r="I136" i="1" s="1"/>
  <c r="G137" i="1"/>
  <c r="I137" i="1" s="1"/>
  <c r="G138" i="1"/>
  <c r="I138" i="1" s="1"/>
  <c r="G139" i="1"/>
  <c r="I139" i="1" s="1"/>
  <c r="G140" i="1"/>
  <c r="G141" i="1"/>
  <c r="I141" i="1" s="1"/>
  <c r="G142" i="1"/>
  <c r="I142" i="1" s="1"/>
  <c r="G143" i="1"/>
  <c r="I143" i="1" s="1"/>
  <c r="G144" i="1"/>
  <c r="I144" i="1" s="1"/>
  <c r="G145" i="1"/>
  <c r="I145" i="1" s="1"/>
  <c r="G146" i="1"/>
  <c r="I146" i="1" s="1"/>
  <c r="G147" i="1"/>
  <c r="I147" i="1" s="1"/>
  <c r="G148" i="1"/>
  <c r="I148" i="1" s="1"/>
  <c r="G149" i="1"/>
  <c r="I149" i="1" s="1"/>
  <c r="G150" i="1"/>
  <c r="I150" i="1" s="1"/>
  <c r="G151" i="1"/>
  <c r="I151" i="1" s="1"/>
  <c r="G152" i="1"/>
  <c r="I152" i="1" s="1"/>
  <c r="G153" i="1"/>
  <c r="I153" i="1" s="1"/>
  <c r="G154" i="1"/>
  <c r="I154" i="1" s="1"/>
  <c r="G155" i="1"/>
  <c r="I155" i="1" s="1"/>
  <c r="G156" i="1"/>
  <c r="G157" i="1"/>
  <c r="G158" i="1"/>
  <c r="I158" i="1" s="1"/>
  <c r="G159" i="1"/>
  <c r="I159" i="1" s="1"/>
  <c r="G160" i="1"/>
  <c r="I160" i="1" s="1"/>
  <c r="G161" i="1"/>
  <c r="I161" i="1" s="1"/>
  <c r="G162" i="1"/>
  <c r="I162" i="1" s="1"/>
  <c r="G163" i="1"/>
  <c r="I163" i="1" s="1"/>
  <c r="G164" i="1"/>
  <c r="I164" i="1" s="1"/>
  <c r="G165" i="1"/>
  <c r="I165" i="1" s="1"/>
  <c r="G166" i="1"/>
  <c r="I166" i="1" s="1"/>
  <c r="G167" i="1"/>
  <c r="I167" i="1" s="1"/>
  <c r="G168" i="1"/>
  <c r="I168" i="1" s="1"/>
  <c r="G169" i="1"/>
  <c r="I169" i="1" s="1"/>
  <c r="G170" i="1"/>
  <c r="I170" i="1" s="1"/>
  <c r="G171" i="1"/>
  <c r="I171" i="1" s="1"/>
  <c r="G172" i="1"/>
  <c r="I172" i="1" s="1"/>
  <c r="G173" i="1"/>
  <c r="I173" i="1" s="1"/>
  <c r="G174" i="1"/>
  <c r="I174" i="1" s="1"/>
  <c r="G175" i="1"/>
  <c r="I175" i="1" s="1"/>
  <c r="G176" i="1"/>
  <c r="I176" i="1" s="1"/>
  <c r="G177" i="1"/>
  <c r="I177" i="1" s="1"/>
  <c r="G178" i="1"/>
  <c r="I178" i="1" s="1"/>
  <c r="G179" i="1"/>
  <c r="I179" i="1" s="1"/>
  <c r="G180" i="1"/>
  <c r="I180" i="1" s="1"/>
  <c r="G181" i="1"/>
  <c r="I181" i="1" s="1"/>
  <c r="G182" i="1"/>
  <c r="I182" i="1" s="1"/>
  <c r="G183" i="1"/>
  <c r="I183" i="1" s="1"/>
  <c r="G184" i="1"/>
  <c r="I184" i="1" s="1"/>
  <c r="G185" i="1"/>
  <c r="I185" i="1" s="1"/>
  <c r="G186" i="1"/>
  <c r="I186" i="1" s="1"/>
  <c r="G187" i="1"/>
  <c r="I187" i="1" s="1"/>
  <c r="G188" i="1"/>
  <c r="G189" i="1"/>
  <c r="I189" i="1" s="1"/>
  <c r="G190" i="1"/>
  <c r="I190" i="1" s="1"/>
  <c r="G191" i="1"/>
  <c r="I191" i="1" s="1"/>
  <c r="G192" i="1"/>
  <c r="I192" i="1" s="1"/>
  <c r="G193" i="1"/>
  <c r="I193" i="1" s="1"/>
  <c r="G194" i="1"/>
  <c r="I194" i="1" s="1"/>
  <c r="G195" i="1"/>
  <c r="I195" i="1" s="1"/>
  <c r="G196" i="1"/>
  <c r="I196" i="1" s="1"/>
  <c r="G197" i="1"/>
  <c r="I197" i="1" s="1"/>
  <c r="G198" i="1"/>
  <c r="I198" i="1" s="1"/>
  <c r="G199" i="1"/>
  <c r="I199" i="1" s="1"/>
  <c r="G200" i="1"/>
  <c r="I200" i="1" s="1"/>
  <c r="G201" i="1"/>
  <c r="I201" i="1" s="1"/>
  <c r="G202" i="1"/>
  <c r="I202" i="1" s="1"/>
  <c r="G203" i="1"/>
  <c r="I203" i="1" s="1"/>
  <c r="G204" i="1"/>
  <c r="I204" i="1" s="1"/>
  <c r="G205" i="1"/>
  <c r="I205" i="1" s="1"/>
  <c r="G206" i="1"/>
  <c r="I206" i="1" s="1"/>
  <c r="G207" i="1"/>
  <c r="I207" i="1" s="1"/>
  <c r="G208" i="1"/>
  <c r="I208" i="1" s="1"/>
  <c r="G209" i="1"/>
  <c r="I209" i="1" s="1"/>
  <c r="G210" i="1"/>
  <c r="I210" i="1" s="1"/>
  <c r="G211" i="1"/>
  <c r="I211" i="1" s="1"/>
  <c r="G212" i="1"/>
  <c r="I212" i="1" s="1"/>
  <c r="G213" i="1"/>
  <c r="I213" i="1" s="1"/>
  <c r="G214" i="1"/>
  <c r="I214" i="1" s="1"/>
  <c r="G215" i="1"/>
  <c r="I215" i="1" s="1"/>
  <c r="G216" i="1"/>
  <c r="I216" i="1" s="1"/>
  <c r="G217" i="1"/>
  <c r="I217" i="1" s="1"/>
  <c r="G218" i="1"/>
  <c r="I218" i="1" s="1"/>
  <c r="G219" i="1"/>
  <c r="I219" i="1" s="1"/>
  <c r="G220" i="1"/>
  <c r="I220" i="1" s="1"/>
  <c r="G221" i="1"/>
  <c r="I221" i="1" s="1"/>
  <c r="G222" i="1"/>
  <c r="I222" i="1" s="1"/>
  <c r="G223" i="1"/>
  <c r="I223" i="1" s="1"/>
  <c r="G224" i="1"/>
  <c r="I224" i="1" s="1"/>
  <c r="G225" i="1"/>
  <c r="I225" i="1" s="1"/>
  <c r="G226" i="1"/>
  <c r="I226" i="1" s="1"/>
  <c r="G227" i="1"/>
  <c r="I227" i="1" s="1"/>
  <c r="G228" i="1"/>
  <c r="I228" i="1" s="1"/>
  <c r="G229" i="1"/>
  <c r="I229" i="1" s="1"/>
  <c r="G230" i="1"/>
  <c r="I230" i="1" s="1"/>
  <c r="G231" i="1"/>
  <c r="I231" i="1" s="1"/>
  <c r="G232" i="1"/>
  <c r="I232" i="1" s="1"/>
  <c r="G233" i="1"/>
  <c r="I233" i="1" s="1"/>
  <c r="G234" i="1"/>
  <c r="I234" i="1" s="1"/>
  <c r="G235" i="1"/>
  <c r="I235" i="1" s="1"/>
  <c r="G236" i="1"/>
  <c r="I236" i="1" s="1"/>
  <c r="G237" i="1"/>
  <c r="I237" i="1" s="1"/>
  <c r="G238" i="1"/>
  <c r="I238" i="1" s="1"/>
  <c r="G239" i="1"/>
  <c r="I239" i="1" s="1"/>
  <c r="G240" i="1"/>
  <c r="I240" i="1" s="1"/>
  <c r="G241" i="1"/>
  <c r="I241" i="1" s="1"/>
  <c r="G242" i="1"/>
  <c r="I242" i="1" s="1"/>
  <c r="G243" i="1"/>
  <c r="I243" i="1" s="1"/>
  <c r="G244" i="1"/>
  <c r="I244" i="1" s="1"/>
  <c r="G245" i="1"/>
  <c r="I245" i="1" s="1"/>
  <c r="G246" i="1"/>
  <c r="I246" i="1" s="1"/>
  <c r="G247" i="1"/>
  <c r="I247" i="1" s="1"/>
  <c r="G248" i="1"/>
  <c r="I248" i="1" s="1"/>
  <c r="G249" i="1"/>
  <c r="I249" i="1" s="1"/>
  <c r="G250" i="1"/>
  <c r="I250" i="1" s="1"/>
  <c r="G251" i="1"/>
  <c r="I251" i="1" s="1"/>
  <c r="G252" i="1"/>
  <c r="I252" i="1" s="1"/>
  <c r="G253" i="1"/>
  <c r="I253" i="1" s="1"/>
  <c r="G254" i="1"/>
  <c r="I254" i="1" s="1"/>
  <c r="G255" i="1"/>
  <c r="I255" i="1" s="1"/>
  <c r="G256" i="1"/>
  <c r="I256" i="1" s="1"/>
  <c r="G257" i="1"/>
  <c r="I257" i="1" s="1"/>
  <c r="G258" i="1"/>
  <c r="I258" i="1" s="1"/>
  <c r="G259" i="1"/>
  <c r="I259" i="1" s="1"/>
  <c r="G260" i="1"/>
  <c r="I260" i="1" s="1"/>
  <c r="G261" i="1"/>
  <c r="I261" i="1" s="1"/>
  <c r="G262" i="1"/>
  <c r="I262" i="1" s="1"/>
  <c r="G263" i="1"/>
  <c r="I263" i="1" s="1"/>
  <c r="G264" i="1"/>
  <c r="I264" i="1" s="1"/>
  <c r="G265" i="1"/>
  <c r="I265" i="1" s="1"/>
  <c r="G266" i="1"/>
  <c r="I266" i="1" s="1"/>
  <c r="G267" i="1"/>
  <c r="I267" i="1" s="1"/>
  <c r="G268" i="1"/>
  <c r="G269" i="1"/>
  <c r="I269" i="1" s="1"/>
  <c r="G270" i="1"/>
  <c r="I270" i="1" s="1"/>
  <c r="G271" i="1"/>
  <c r="I271" i="1" s="1"/>
  <c r="G272" i="1"/>
  <c r="I272" i="1" s="1"/>
  <c r="G273" i="1"/>
  <c r="I273" i="1" s="1"/>
  <c r="G274" i="1"/>
  <c r="I274" i="1" s="1"/>
  <c r="G275" i="1"/>
  <c r="I275" i="1" s="1"/>
  <c r="G276" i="1"/>
  <c r="I276" i="1" s="1"/>
  <c r="G277" i="1"/>
  <c r="I277" i="1" s="1"/>
  <c r="G278" i="1"/>
  <c r="I278" i="1" s="1"/>
  <c r="G279" i="1"/>
  <c r="I279" i="1" s="1"/>
  <c r="G280" i="1"/>
  <c r="I280" i="1" s="1"/>
  <c r="G281" i="1"/>
  <c r="I281" i="1" s="1"/>
  <c r="G282" i="1"/>
  <c r="I282" i="1" s="1"/>
  <c r="G283" i="1"/>
  <c r="I283" i="1" s="1"/>
  <c r="G284" i="1"/>
  <c r="G285" i="1"/>
  <c r="I285" i="1" s="1"/>
  <c r="G286" i="1"/>
  <c r="I286" i="1" s="1"/>
  <c r="G287" i="1"/>
  <c r="I287" i="1" s="1"/>
  <c r="G288" i="1"/>
  <c r="I288" i="1" s="1"/>
  <c r="G289" i="1"/>
  <c r="I289" i="1" s="1"/>
  <c r="G290" i="1"/>
  <c r="I290" i="1" s="1"/>
  <c r="G291" i="1"/>
  <c r="I291" i="1" s="1"/>
  <c r="G292" i="1"/>
  <c r="I292" i="1" s="1"/>
  <c r="G293" i="1"/>
  <c r="I293" i="1" s="1"/>
  <c r="G294" i="1"/>
  <c r="I294" i="1" s="1"/>
  <c r="G295" i="1"/>
  <c r="I295" i="1" s="1"/>
  <c r="G296" i="1"/>
  <c r="I296" i="1" s="1"/>
  <c r="G297" i="1"/>
  <c r="I297" i="1" s="1"/>
  <c r="G298" i="1"/>
  <c r="I298" i="1" s="1"/>
  <c r="G299" i="1"/>
  <c r="I299" i="1" s="1"/>
  <c r="G300" i="1"/>
  <c r="I300" i="1" s="1"/>
  <c r="G301" i="1"/>
  <c r="I301" i="1" s="1"/>
  <c r="G302" i="1"/>
  <c r="I302" i="1" s="1"/>
  <c r="G303" i="1"/>
  <c r="I303" i="1" s="1"/>
  <c r="G304" i="1"/>
  <c r="I304" i="1" s="1"/>
  <c r="G305" i="1"/>
  <c r="I305" i="1" s="1"/>
  <c r="G306" i="1"/>
  <c r="I306" i="1" s="1"/>
  <c r="G307" i="1"/>
  <c r="I307" i="1" s="1"/>
  <c r="G308" i="1"/>
  <c r="I308" i="1" s="1"/>
  <c r="G309" i="1"/>
  <c r="I309" i="1" s="1"/>
  <c r="G310" i="1"/>
  <c r="I310" i="1" s="1"/>
  <c r="G311" i="1"/>
  <c r="I311" i="1" s="1"/>
  <c r="G312" i="1"/>
  <c r="I312" i="1" s="1"/>
  <c r="G313" i="1"/>
  <c r="I313" i="1" s="1"/>
  <c r="G314" i="1"/>
  <c r="I314" i="1" s="1"/>
  <c r="G315" i="1"/>
  <c r="I315" i="1" s="1"/>
  <c r="G316" i="1"/>
  <c r="G317" i="1"/>
  <c r="G318" i="1"/>
  <c r="I318" i="1" s="1"/>
  <c r="G319" i="1"/>
  <c r="I319" i="1" s="1"/>
  <c r="G320" i="1"/>
  <c r="I320" i="1" s="1"/>
  <c r="G321" i="1"/>
  <c r="I321" i="1" s="1"/>
  <c r="G322" i="1"/>
  <c r="I322" i="1" s="1"/>
  <c r="G323" i="1"/>
  <c r="I323" i="1" s="1"/>
  <c r="G324" i="1"/>
  <c r="I324" i="1" s="1"/>
  <c r="G325" i="1"/>
  <c r="I325" i="1" s="1"/>
  <c r="G326" i="1"/>
  <c r="I326" i="1" s="1"/>
  <c r="G327" i="1"/>
  <c r="I327" i="1" s="1"/>
  <c r="G328" i="1"/>
  <c r="I328" i="1" s="1"/>
  <c r="G329" i="1"/>
  <c r="I329" i="1" s="1"/>
  <c r="G330" i="1"/>
  <c r="I330" i="1" s="1"/>
  <c r="G331" i="1"/>
  <c r="I331" i="1" s="1"/>
  <c r="G332" i="1"/>
  <c r="I332" i="1" s="1"/>
  <c r="G333" i="1"/>
  <c r="I333" i="1" s="1"/>
  <c r="G334" i="1"/>
  <c r="I334" i="1" s="1"/>
  <c r="G335" i="1"/>
  <c r="I335" i="1" s="1"/>
  <c r="G336" i="1"/>
  <c r="I336" i="1" s="1"/>
  <c r="G337" i="1"/>
  <c r="I337" i="1" s="1"/>
  <c r="G338" i="1"/>
  <c r="I338" i="1" s="1"/>
  <c r="G339" i="1"/>
  <c r="I339" i="1" s="1"/>
  <c r="G340" i="1"/>
  <c r="I340" i="1" s="1"/>
  <c r="G341" i="1"/>
  <c r="I341" i="1" s="1"/>
  <c r="G342" i="1"/>
  <c r="I342" i="1" s="1"/>
  <c r="G343" i="1"/>
  <c r="I343" i="1" s="1"/>
  <c r="G344" i="1"/>
  <c r="I344" i="1" s="1"/>
  <c r="G345" i="1"/>
  <c r="I345" i="1" s="1"/>
  <c r="G346" i="1"/>
  <c r="I346" i="1" s="1"/>
  <c r="G347" i="1"/>
  <c r="I347" i="1" s="1"/>
  <c r="G348" i="1"/>
  <c r="I348" i="1" s="1"/>
  <c r="G349" i="1"/>
  <c r="I349" i="1" s="1"/>
  <c r="G350" i="1"/>
  <c r="I350" i="1" s="1"/>
  <c r="G351" i="1"/>
  <c r="I351" i="1" s="1"/>
  <c r="G352" i="1"/>
  <c r="I352" i="1" s="1"/>
  <c r="G353" i="1"/>
  <c r="I353" i="1" s="1"/>
  <c r="G354" i="1"/>
  <c r="I354" i="1" s="1"/>
  <c r="G355" i="1"/>
  <c r="I355" i="1" s="1"/>
  <c r="G356" i="1"/>
  <c r="I356" i="1" s="1"/>
  <c r="G357" i="1"/>
  <c r="I357" i="1" s="1"/>
  <c r="G358" i="1"/>
  <c r="I358" i="1" s="1"/>
  <c r="G359" i="1"/>
  <c r="I359" i="1" s="1"/>
  <c r="G360" i="1"/>
  <c r="I360" i="1" s="1"/>
  <c r="G361" i="1"/>
  <c r="I361" i="1" s="1"/>
  <c r="G362" i="1"/>
  <c r="I362" i="1" s="1"/>
  <c r="G363" i="1"/>
  <c r="I363" i="1" s="1"/>
  <c r="G364" i="1"/>
  <c r="I364" i="1" s="1"/>
  <c r="G365" i="1"/>
  <c r="I365" i="1" s="1"/>
  <c r="G366" i="1"/>
  <c r="I366" i="1" s="1"/>
  <c r="G367" i="1"/>
  <c r="I367" i="1" s="1"/>
  <c r="G368" i="1"/>
  <c r="I368" i="1" s="1"/>
  <c r="G369" i="1"/>
  <c r="I369" i="1" s="1"/>
  <c r="G370" i="1"/>
  <c r="I370" i="1" s="1"/>
  <c r="G371" i="1"/>
  <c r="I371" i="1" s="1"/>
  <c r="G372" i="1"/>
  <c r="I372" i="1" s="1"/>
  <c r="G373" i="1"/>
  <c r="I373" i="1" s="1"/>
  <c r="G374" i="1"/>
  <c r="I374" i="1" s="1"/>
  <c r="G375" i="1"/>
  <c r="I375" i="1" s="1"/>
  <c r="G376" i="1"/>
  <c r="I376" i="1" s="1"/>
  <c r="G377" i="1"/>
  <c r="I377" i="1" s="1"/>
  <c r="G378" i="1"/>
  <c r="I378" i="1" s="1"/>
  <c r="G379" i="1"/>
  <c r="I379" i="1" s="1"/>
  <c r="G380" i="1"/>
  <c r="I380" i="1" s="1"/>
  <c r="G381" i="1"/>
  <c r="I381" i="1" s="1"/>
  <c r="G382" i="1"/>
  <c r="I382" i="1" s="1"/>
  <c r="G383" i="1"/>
  <c r="I383" i="1" s="1"/>
  <c r="G384" i="1"/>
  <c r="I384" i="1" s="1"/>
  <c r="G385" i="1"/>
  <c r="I385" i="1" s="1"/>
  <c r="G386" i="1"/>
  <c r="I386" i="1" s="1"/>
  <c r="G387" i="1"/>
  <c r="I387" i="1" s="1"/>
  <c r="G388" i="1"/>
  <c r="I388" i="1" s="1"/>
  <c r="G389" i="1"/>
  <c r="I389" i="1" s="1"/>
  <c r="G390" i="1"/>
  <c r="I390" i="1" s="1"/>
  <c r="G391" i="1"/>
  <c r="I391" i="1" s="1"/>
  <c r="G392" i="1"/>
  <c r="I392" i="1" s="1"/>
  <c r="G393" i="1"/>
  <c r="I393" i="1" s="1"/>
  <c r="G394" i="1"/>
  <c r="I394" i="1" s="1"/>
  <c r="G395" i="1"/>
  <c r="I395" i="1" s="1"/>
  <c r="G396" i="1"/>
  <c r="I396" i="1" s="1"/>
  <c r="G397" i="1"/>
  <c r="I397" i="1" s="1"/>
  <c r="I140" i="1"/>
  <c r="I156" i="1"/>
  <c r="I157" i="1"/>
  <c r="I188" i="1"/>
  <c r="I268" i="1"/>
  <c r="I284" i="1"/>
  <c r="I316" i="1"/>
  <c r="I317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I14" i="2" l="1" a="1"/>
  <c r="I14" i="2" s="1"/>
  <c r="F14" i="2" a="1"/>
  <c r="F14" i="2" s="1"/>
  <c r="J14" i="2" a="1"/>
  <c r="J1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<sst xmlns="http://schemas.openxmlformats.org/spreadsheetml/2006/main" count="19" uniqueCount="16">
  <si>
    <t>日付</t>
    <rPh sb="0" eb="2">
      <t>ヒヅケ</t>
    </rPh>
    <phoneticPr fontId="2"/>
  </si>
  <si>
    <t>件数</t>
    <rPh sb="0" eb="2">
      <t>ケンスウ</t>
    </rPh>
    <phoneticPr fontId="2"/>
  </si>
  <si>
    <t>正味の料金</t>
    <rPh sb="0" eb="2">
      <t>ショウミ</t>
    </rPh>
    <rPh sb="3" eb="5">
      <t>リョウキン</t>
    </rPh>
    <phoneticPr fontId="2"/>
  </si>
  <si>
    <t>1件平均</t>
    <rPh sb="0" eb="2">
      <t>イッケン</t>
    </rPh>
    <rPh sb="2" eb="4">
      <t>ヘイキン</t>
    </rPh>
    <phoneticPr fontId="2"/>
  </si>
  <si>
    <t>プロモーション</t>
    <phoneticPr fontId="2"/>
  </si>
  <si>
    <t>その他</t>
    <rPh sb="2" eb="3">
      <t>タ</t>
    </rPh>
    <phoneticPr fontId="2"/>
  </si>
  <si>
    <t>チップ</t>
    <phoneticPr fontId="2"/>
  </si>
  <si>
    <t>全体金額</t>
    <rPh sb="0" eb="2">
      <t>ゼンタイ</t>
    </rPh>
    <rPh sb="2" eb="4">
      <t>キンガク</t>
    </rPh>
    <phoneticPr fontId="2"/>
  </si>
  <si>
    <t>全体平均</t>
    <rPh sb="0" eb="2">
      <t>ゼンタイ</t>
    </rPh>
    <rPh sb="2" eb="4">
      <t>ヘイキン</t>
    </rPh>
    <phoneticPr fontId="2"/>
  </si>
  <si>
    <t>年</t>
    <rPh sb="0" eb="1">
      <t>ネン</t>
    </rPh>
    <phoneticPr fontId="2"/>
  </si>
  <si>
    <t>月</t>
    <rPh sb="0" eb="1">
      <t>ツキ</t>
    </rPh>
    <phoneticPr fontId="2"/>
  </si>
  <si>
    <t>正味中央値</t>
    <rPh sb="0" eb="2">
      <t>ショウミ</t>
    </rPh>
    <rPh sb="2" eb="5">
      <t>チュウオウチ</t>
    </rPh>
    <phoneticPr fontId="2"/>
  </si>
  <si>
    <t>日数</t>
    <rPh sb="0" eb="2">
      <t>ニッスウ</t>
    </rPh>
    <phoneticPr fontId="2"/>
  </si>
  <si>
    <t>正味平均</t>
    <rPh sb="0" eb="2">
      <t>ショウミ</t>
    </rPh>
    <rPh sb="2" eb="4">
      <t>ヘイキン</t>
    </rPh>
    <phoneticPr fontId="2"/>
  </si>
  <si>
    <t>全体中央値</t>
    <rPh sb="0" eb="2">
      <t>ゼンタイ</t>
    </rPh>
    <rPh sb="2" eb="5">
      <t>チュウオウチ</t>
    </rPh>
    <phoneticPr fontId="2"/>
  </si>
  <si>
    <t>正味金額</t>
    <rPh sb="0" eb="2">
      <t>ショウミ</t>
    </rPh>
    <rPh sb="2" eb="4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</si>
</sst>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(aaa\)"/>
    <numFmt numFmtId="177" formatCode="0#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0" fillId="0" borderId="1" xfId="0" applyNumberFormat="1" applyBorder="1">
      <alignment vertical="center"/>
    </xf>
    <xf numFmtId="38" fontId="0" fillId="2" borderId="1" xfId="1" applyFont="1" applyFill="1" applyBorder="1">
      <alignment vertical="center"/>
    </xf>
    <xf numFmtId="38" fontId="0" fillId="0" borderId="1" xfId="1" applyFon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38" fontId="0" fillId="2" borderId="1" xfId="1" applyFont="1" applyFill="1" applyBorder="1" applyAlignment="1">
      <alignment horizontal="center" vertical="center"/>
    </xf>
    <xf numFmtId="38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8" fontId="0" fillId="0" borderId="0" xfId="1" applyFont="1">
      <alignment vertical="center"/>
    </xf>
    <xf numFmtId="0" fontId="0" fillId="3" borderId="1" xfId="0" applyFill="1" applyBorder="1" applyAlignment="1">
      <alignment horizontal="center" vertical="center"/>
    </xf>
    <xf numFmtId="38" fontId="0" fillId="3" borderId="1" xfId="1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0ABE-2608-4CA1-A022-0CD0488C6FBF}">
  <dimension ref="A1:I731"/>
  <sheetViews>
    <sheetView zoomScaleNormal="100" workbookViewId="0">
      <pane xSplit="1" ySplit="1" topLeftCell="B354" activePane="bottomRight" state="frozen"/>
      <selection pane="topRight" activeCell="B1" sqref="B1"/>
      <selection pane="bottomLeft" activeCell="A2" sqref="A2"/>
      <selection pane="bottomRight" activeCell="H389" sqref="H389"/>
    </sheetView>
  </sheetViews>
  <sheetFormatPr defaultRowHeight="18" x14ac:dyDescent="0.55000000000000004"/>
  <cols>
    <col min="1" max="1" width="14.6640625" style="1" bestFit="1" customWidth="1"/>
    <col min="2" max="2" width="5.1640625" style="2" bestFit="1" customWidth="1"/>
    <col min="3" max="3" width="10.4140625" style="2" bestFit="1" customWidth="1"/>
    <col min="4" max="4" width="14.25" style="2" bestFit="1" customWidth="1"/>
    <col min="5" max="6" width="6.6640625" style="2" bestFit="1" customWidth="1"/>
    <col min="7" max="7" width="8.5" style="3" bestFit="1" customWidth="1"/>
    <col min="8" max="8" width="7.6640625" style="3" bestFit="1" customWidth="1"/>
    <col min="9" max="9" width="8.5" style="3" bestFit="1" customWidth="1"/>
  </cols>
  <sheetData>
    <row r="1" spans="1:9" x14ac:dyDescent="0.55000000000000004">
      <c r="A1" s="4" t="s">
        <v>0</v>
      </c>
      <c r="B1" s="5" t="s">
        <v>1</v>
      </c>
      <c r="C1" s="5" t="s">
        <v>2</v>
      </c>
      <c r="D1" s="5" t="s">
        <v>4</v>
      </c>
      <c r="E1" s="5" t="s">
        <v>5</v>
      </c>
      <c r="F1" s="5" t="s">
        <v>6</v>
      </c>
      <c r="G1" s="6" t="s">
        <v>7</v>
      </c>
      <c r="H1" s="6" t="s">
        <v>3</v>
      </c>
      <c r="I1" s="6" t="s">
        <v>8</v>
      </c>
    </row>
    <row r="2" spans="1:9" x14ac:dyDescent="0.55000000000000004">
      <c r="A2" s="1">
        <v>45658</v>
      </c>
      <c r="G2" s="3">
        <f t="shared" ref="G2:G65" si="0">C2+D2+E2+F2</f>
        <v>0</v>
      </c>
      <c r="H2" s="3" t="e">
        <f t="shared" ref="H2:H65" si="1">C2/B2</f>
        <v>#DIV/0!</v>
      </c>
      <c r="I2" s="3" t="e">
        <f t="shared" ref="I2:I65" si="2">G2/B2</f>
        <v>#DIV/0!</v>
      </c>
    </row>
    <row r="3" spans="1:9" x14ac:dyDescent="0.55000000000000004">
      <c r="A3" s="1">
        <v>45659</v>
      </c>
      <c r="G3" s="3">
        <f t="shared" si="0"/>
        <v>0</v>
      </c>
      <c r="H3" s="3" t="e">
        <f t="shared" si="1"/>
        <v>#DIV/0!</v>
      </c>
      <c r="I3" s="3" t="e">
        <f t="shared" si="2"/>
        <v>#DIV/0!</v>
      </c>
    </row>
    <row r="4" spans="1:9" x14ac:dyDescent="0.55000000000000004">
      <c r="A4" s="1">
        <v>45660</v>
      </c>
      <c r="G4" s="3">
        <f t="shared" si="0"/>
        <v>0</v>
      </c>
      <c r="H4" s="3" t="e">
        <f t="shared" si="1"/>
        <v>#DIV/0!</v>
      </c>
      <c r="I4" s="3" t="e">
        <f t="shared" si="2"/>
        <v>#DIV/0!</v>
      </c>
    </row>
    <row r="5" spans="1:9" x14ac:dyDescent="0.55000000000000004">
      <c r="A5" s="1">
        <v>45661</v>
      </c>
      <c r="G5" s="3">
        <f t="shared" si="0"/>
        <v>0</v>
      </c>
      <c r="H5" s="3" t="e">
        <f t="shared" si="1"/>
        <v>#DIV/0!</v>
      </c>
      <c r="I5" s="3" t="e">
        <f t="shared" si="2"/>
        <v>#DIV/0!</v>
      </c>
    </row>
    <row r="6" spans="1:9" x14ac:dyDescent="0.55000000000000004">
      <c r="A6" s="1">
        <v>45662</v>
      </c>
      <c r="G6" s="3">
        <f t="shared" si="0"/>
        <v>0</v>
      </c>
      <c r="H6" s="3" t="e">
        <f t="shared" si="1"/>
        <v>#DIV/0!</v>
      </c>
      <c r="I6" s="3" t="e">
        <f t="shared" si="2"/>
        <v>#DIV/0!</v>
      </c>
    </row>
    <row r="7" spans="1:9" x14ac:dyDescent="0.55000000000000004">
      <c r="A7" s="1">
        <v>45663</v>
      </c>
      <c r="G7" s="3">
        <f t="shared" si="0"/>
        <v>0</v>
      </c>
      <c r="H7" s="3" t="e">
        <f t="shared" si="1"/>
        <v>#DIV/0!</v>
      </c>
      <c r="I7" s="3" t="e">
        <f t="shared" si="2"/>
        <v>#DIV/0!</v>
      </c>
    </row>
    <row r="8" spans="1:9" x14ac:dyDescent="0.55000000000000004">
      <c r="A8" s="1">
        <v>45664</v>
      </c>
      <c r="G8" s="3">
        <f t="shared" si="0"/>
        <v>0</v>
      </c>
      <c r="H8" s="3" t="e">
        <f t="shared" si="1"/>
        <v>#DIV/0!</v>
      </c>
      <c r="I8" s="3" t="e">
        <f t="shared" si="2"/>
        <v>#DIV/0!</v>
      </c>
    </row>
    <row r="9" spans="1:9" x14ac:dyDescent="0.55000000000000004">
      <c r="A9" s="1">
        <v>45665</v>
      </c>
      <c r="G9" s="3">
        <f t="shared" si="0"/>
        <v>0</v>
      </c>
      <c r="H9" s="3" t="e">
        <f t="shared" si="1"/>
        <v>#DIV/0!</v>
      </c>
      <c r="I9" s="3" t="e">
        <f t="shared" si="2"/>
        <v>#DIV/0!</v>
      </c>
    </row>
    <row r="10" spans="1:9" x14ac:dyDescent="0.55000000000000004">
      <c r="A10" s="1">
        <v>45666</v>
      </c>
      <c r="G10" s="3">
        <f t="shared" si="0"/>
        <v>0</v>
      </c>
      <c r="H10" s="3" t="e">
        <f t="shared" si="1"/>
        <v>#DIV/0!</v>
      </c>
      <c r="I10" s="3" t="e">
        <f t="shared" si="2"/>
        <v>#DIV/0!</v>
      </c>
    </row>
    <row r="11" spans="1:9" x14ac:dyDescent="0.55000000000000004">
      <c r="A11" s="1">
        <v>45667</v>
      </c>
      <c r="G11" s="3">
        <f t="shared" si="0"/>
        <v>0</v>
      </c>
      <c r="H11" s="3" t="e">
        <f t="shared" si="1"/>
        <v>#DIV/0!</v>
      </c>
      <c r="I11" s="3" t="e">
        <f t="shared" si="2"/>
        <v>#DIV/0!</v>
      </c>
    </row>
    <row r="12" spans="1:9" x14ac:dyDescent="0.55000000000000004">
      <c r="A12" s="1">
        <v>45668</v>
      </c>
      <c r="G12" s="3">
        <f t="shared" si="0"/>
        <v>0</v>
      </c>
      <c r="H12" s="3" t="e">
        <f t="shared" si="1"/>
        <v>#DIV/0!</v>
      </c>
      <c r="I12" s="3" t="e">
        <f t="shared" si="2"/>
        <v>#DIV/0!</v>
      </c>
    </row>
    <row r="13" spans="1:9" x14ac:dyDescent="0.55000000000000004">
      <c r="A13" s="1">
        <v>45669</v>
      </c>
      <c r="G13" s="3">
        <f t="shared" si="0"/>
        <v>0</v>
      </c>
      <c r="H13" s="3" t="e">
        <f t="shared" si="1"/>
        <v>#DIV/0!</v>
      </c>
      <c r="I13" s="3" t="e">
        <f t="shared" si="2"/>
        <v>#DIV/0!</v>
      </c>
    </row>
    <row r="14" spans="1:9" x14ac:dyDescent="0.55000000000000004">
      <c r="A14" s="1">
        <v>45670</v>
      </c>
      <c r="G14" s="3">
        <f t="shared" si="0"/>
        <v>0</v>
      </c>
      <c r="H14" s="3" t="e">
        <f t="shared" si="1"/>
        <v>#DIV/0!</v>
      </c>
      <c r="I14" s="3" t="e">
        <f t="shared" si="2"/>
        <v>#DIV/0!</v>
      </c>
    </row>
    <row r="15" spans="1:9" x14ac:dyDescent="0.55000000000000004">
      <c r="A15" s="1">
        <v>45671</v>
      </c>
      <c r="G15" s="3">
        <f t="shared" si="0"/>
        <v>0</v>
      </c>
      <c r="H15" s="3" t="e">
        <f t="shared" si="1"/>
        <v>#DIV/0!</v>
      </c>
      <c r="I15" s="3" t="e">
        <f t="shared" si="2"/>
        <v>#DIV/0!</v>
      </c>
    </row>
    <row r="16" spans="1:9" x14ac:dyDescent="0.55000000000000004">
      <c r="A16" s="1">
        <v>45672</v>
      </c>
      <c r="G16" s="3">
        <f t="shared" si="0"/>
        <v>0</v>
      </c>
      <c r="H16" s="3" t="e">
        <f t="shared" si="1"/>
        <v>#DIV/0!</v>
      </c>
      <c r="I16" s="3" t="e">
        <f t="shared" si="2"/>
        <v>#DIV/0!</v>
      </c>
    </row>
    <row r="17" spans="1:9" x14ac:dyDescent="0.55000000000000004">
      <c r="A17" s="1">
        <v>45673</v>
      </c>
      <c r="G17" s="3">
        <f t="shared" si="0"/>
        <v>0</v>
      </c>
      <c r="H17" s="3" t="e">
        <f t="shared" si="1"/>
        <v>#DIV/0!</v>
      </c>
      <c r="I17" s="3" t="e">
        <f t="shared" si="2"/>
        <v>#DIV/0!</v>
      </c>
    </row>
    <row r="18" spans="1:9" x14ac:dyDescent="0.55000000000000004">
      <c r="A18" s="1">
        <v>45674</v>
      </c>
      <c r="G18" s="3">
        <f t="shared" si="0"/>
        <v>0</v>
      </c>
      <c r="H18" s="3" t="e">
        <f t="shared" si="1"/>
        <v>#DIV/0!</v>
      </c>
      <c r="I18" s="3" t="e">
        <f t="shared" si="2"/>
        <v>#DIV/0!</v>
      </c>
    </row>
    <row r="19" spans="1:9" x14ac:dyDescent="0.55000000000000004">
      <c r="A19" s="1">
        <v>45675</v>
      </c>
      <c r="G19" s="3">
        <f t="shared" si="0"/>
        <v>0</v>
      </c>
      <c r="H19" s="3" t="e">
        <f t="shared" si="1"/>
        <v>#DIV/0!</v>
      </c>
      <c r="I19" s="3" t="e">
        <f t="shared" si="2"/>
        <v>#DIV/0!</v>
      </c>
    </row>
    <row r="20" spans="1:9" x14ac:dyDescent="0.55000000000000004">
      <c r="A20" s="1">
        <v>45676</v>
      </c>
      <c r="G20" s="3">
        <f t="shared" si="0"/>
        <v>0</v>
      </c>
      <c r="H20" s="3" t="e">
        <f t="shared" si="1"/>
        <v>#DIV/0!</v>
      </c>
      <c r="I20" s="3" t="e">
        <f t="shared" si="2"/>
        <v>#DIV/0!</v>
      </c>
    </row>
    <row r="21" spans="1:9" x14ac:dyDescent="0.55000000000000004">
      <c r="A21" s="1">
        <v>45677</v>
      </c>
      <c r="G21" s="3">
        <f t="shared" si="0"/>
        <v>0</v>
      </c>
      <c r="H21" s="3" t="e">
        <f t="shared" si="1"/>
        <v>#DIV/0!</v>
      </c>
      <c r="I21" s="3" t="e">
        <f t="shared" si="2"/>
        <v>#DIV/0!</v>
      </c>
    </row>
    <row r="22" spans="1:9" x14ac:dyDescent="0.55000000000000004">
      <c r="A22" s="1">
        <v>45678</v>
      </c>
      <c r="G22" s="3">
        <f t="shared" si="0"/>
        <v>0</v>
      </c>
      <c r="H22" s="3" t="e">
        <f t="shared" si="1"/>
        <v>#DIV/0!</v>
      </c>
      <c r="I22" s="3" t="e">
        <f t="shared" si="2"/>
        <v>#DIV/0!</v>
      </c>
    </row>
    <row r="23" spans="1:9" x14ac:dyDescent="0.55000000000000004">
      <c r="A23" s="1">
        <v>45679</v>
      </c>
      <c r="G23" s="3">
        <f t="shared" si="0"/>
        <v>0</v>
      </c>
      <c r="H23" s="3" t="e">
        <f t="shared" si="1"/>
        <v>#DIV/0!</v>
      </c>
      <c r="I23" s="3" t="e">
        <f t="shared" si="2"/>
        <v>#DIV/0!</v>
      </c>
    </row>
    <row r="24" spans="1:9" x14ac:dyDescent="0.55000000000000004">
      <c r="A24" s="1">
        <v>45680</v>
      </c>
      <c r="G24" s="3">
        <f t="shared" si="0"/>
        <v>0</v>
      </c>
      <c r="H24" s="3" t="e">
        <f t="shared" si="1"/>
        <v>#DIV/0!</v>
      </c>
      <c r="I24" s="3" t="e">
        <f t="shared" si="2"/>
        <v>#DIV/0!</v>
      </c>
    </row>
    <row r="25" spans="1:9" x14ac:dyDescent="0.55000000000000004">
      <c r="A25" s="1">
        <v>45681</v>
      </c>
      <c r="G25" s="3">
        <f t="shared" si="0"/>
        <v>0</v>
      </c>
      <c r="H25" s="3" t="e">
        <f t="shared" si="1"/>
        <v>#DIV/0!</v>
      </c>
      <c r="I25" s="3" t="e">
        <f t="shared" si="2"/>
        <v>#DIV/0!</v>
      </c>
    </row>
    <row r="26" spans="1:9" x14ac:dyDescent="0.55000000000000004">
      <c r="A26" s="1">
        <v>45682</v>
      </c>
      <c r="G26" s="3">
        <f t="shared" si="0"/>
        <v>0</v>
      </c>
      <c r="H26" s="3" t="e">
        <f t="shared" si="1"/>
        <v>#DIV/0!</v>
      </c>
      <c r="I26" s="3" t="e">
        <f t="shared" si="2"/>
        <v>#DIV/0!</v>
      </c>
    </row>
    <row r="27" spans="1:9" x14ac:dyDescent="0.55000000000000004">
      <c r="A27" s="1">
        <v>45683</v>
      </c>
      <c r="G27" s="3">
        <f t="shared" si="0"/>
        <v>0</v>
      </c>
      <c r="H27" s="3" t="e">
        <f t="shared" si="1"/>
        <v>#DIV/0!</v>
      </c>
      <c r="I27" s="3" t="e">
        <f t="shared" si="2"/>
        <v>#DIV/0!</v>
      </c>
    </row>
    <row r="28" spans="1:9" x14ac:dyDescent="0.55000000000000004">
      <c r="A28" s="1">
        <v>45684</v>
      </c>
      <c r="G28" s="3">
        <f t="shared" si="0"/>
        <v>0</v>
      </c>
      <c r="H28" s="3" t="e">
        <f t="shared" si="1"/>
        <v>#DIV/0!</v>
      </c>
      <c r="I28" s="3" t="e">
        <f t="shared" si="2"/>
        <v>#DIV/0!</v>
      </c>
    </row>
    <row r="29" spans="1:9" x14ac:dyDescent="0.55000000000000004">
      <c r="A29" s="1">
        <v>45685</v>
      </c>
      <c r="G29" s="3">
        <f t="shared" si="0"/>
        <v>0</v>
      </c>
      <c r="H29" s="3" t="e">
        <f t="shared" si="1"/>
        <v>#DIV/0!</v>
      </c>
      <c r="I29" s="3" t="e">
        <f t="shared" si="2"/>
        <v>#DIV/0!</v>
      </c>
    </row>
    <row r="30" spans="1:9" x14ac:dyDescent="0.55000000000000004">
      <c r="A30" s="1">
        <v>45686</v>
      </c>
      <c r="G30" s="3">
        <f t="shared" si="0"/>
        <v>0</v>
      </c>
      <c r="H30" s="3" t="e">
        <f t="shared" si="1"/>
        <v>#DIV/0!</v>
      </c>
      <c r="I30" s="3" t="e">
        <f t="shared" si="2"/>
        <v>#DIV/0!</v>
      </c>
    </row>
    <row r="31" spans="1:9" x14ac:dyDescent="0.55000000000000004">
      <c r="A31" s="1">
        <v>45687</v>
      </c>
      <c r="G31" s="3">
        <f t="shared" si="0"/>
        <v>0</v>
      </c>
      <c r="H31" s="3" t="e">
        <f t="shared" si="1"/>
        <v>#DIV/0!</v>
      </c>
      <c r="I31" s="3" t="e">
        <f t="shared" si="2"/>
        <v>#DIV/0!</v>
      </c>
    </row>
    <row r="32" spans="1:9" x14ac:dyDescent="0.55000000000000004">
      <c r="A32" s="1">
        <v>45688</v>
      </c>
      <c r="G32" s="3">
        <f t="shared" si="0"/>
        <v>0</v>
      </c>
      <c r="H32" s="3" t="e">
        <f t="shared" si="1"/>
        <v>#DIV/0!</v>
      </c>
      <c r="I32" s="3" t="e">
        <f t="shared" si="2"/>
        <v>#DIV/0!</v>
      </c>
    </row>
    <row r="33" spans="1:9" x14ac:dyDescent="0.55000000000000004">
      <c r="A33" s="1">
        <v>45689</v>
      </c>
      <c r="G33" s="3">
        <f t="shared" si="0"/>
        <v>0</v>
      </c>
      <c r="H33" s="3" t="e">
        <f t="shared" si="1"/>
        <v>#DIV/0!</v>
      </c>
      <c r="I33" s="3" t="e">
        <f t="shared" si="2"/>
        <v>#DIV/0!</v>
      </c>
    </row>
    <row r="34" spans="1:9" x14ac:dyDescent="0.55000000000000004">
      <c r="A34" s="1">
        <v>45690</v>
      </c>
      <c r="G34" s="3">
        <f t="shared" si="0"/>
        <v>0</v>
      </c>
      <c r="H34" s="3" t="e">
        <f t="shared" si="1"/>
        <v>#DIV/0!</v>
      </c>
      <c r="I34" s="3" t="e">
        <f t="shared" si="2"/>
        <v>#DIV/0!</v>
      </c>
    </row>
    <row r="35" spans="1:9" x14ac:dyDescent="0.55000000000000004">
      <c r="A35" s="1">
        <v>45691</v>
      </c>
      <c r="G35" s="3">
        <f t="shared" si="0"/>
        <v>0</v>
      </c>
      <c r="H35" s="3" t="e">
        <f t="shared" si="1"/>
        <v>#DIV/0!</v>
      </c>
      <c r="I35" s="3" t="e">
        <f t="shared" si="2"/>
        <v>#DIV/0!</v>
      </c>
    </row>
    <row r="36" spans="1:9" x14ac:dyDescent="0.55000000000000004">
      <c r="A36" s="1">
        <v>45692</v>
      </c>
      <c r="G36" s="3">
        <f t="shared" si="0"/>
        <v>0</v>
      </c>
      <c r="H36" s="3" t="e">
        <f t="shared" si="1"/>
        <v>#DIV/0!</v>
      </c>
      <c r="I36" s="3" t="e">
        <f t="shared" si="2"/>
        <v>#DIV/0!</v>
      </c>
    </row>
    <row r="37" spans="1:9" x14ac:dyDescent="0.55000000000000004">
      <c r="A37" s="1">
        <v>45693</v>
      </c>
      <c r="G37" s="3">
        <f t="shared" si="0"/>
        <v>0</v>
      </c>
      <c r="H37" s="3" t="e">
        <f t="shared" si="1"/>
        <v>#DIV/0!</v>
      </c>
      <c r="I37" s="3" t="e">
        <f t="shared" si="2"/>
        <v>#DIV/0!</v>
      </c>
    </row>
    <row r="38" spans="1:9" x14ac:dyDescent="0.55000000000000004">
      <c r="A38" s="1">
        <v>45694</v>
      </c>
      <c r="G38" s="3">
        <f t="shared" si="0"/>
        <v>0</v>
      </c>
      <c r="H38" s="3" t="e">
        <f t="shared" si="1"/>
        <v>#DIV/0!</v>
      </c>
      <c r="I38" s="3" t="e">
        <f t="shared" si="2"/>
        <v>#DIV/0!</v>
      </c>
    </row>
    <row r="39" spans="1:9" x14ac:dyDescent="0.55000000000000004">
      <c r="A39" s="1">
        <v>45695</v>
      </c>
      <c r="G39" s="3">
        <f t="shared" si="0"/>
        <v>0</v>
      </c>
      <c r="H39" s="3" t="e">
        <f t="shared" si="1"/>
        <v>#DIV/0!</v>
      </c>
      <c r="I39" s="3" t="e">
        <f t="shared" si="2"/>
        <v>#DIV/0!</v>
      </c>
    </row>
    <row r="40" spans="1:9" x14ac:dyDescent="0.55000000000000004">
      <c r="A40" s="1">
        <v>45696</v>
      </c>
      <c r="G40" s="3">
        <f t="shared" si="0"/>
        <v>0</v>
      </c>
      <c r="H40" s="3" t="e">
        <f t="shared" si="1"/>
        <v>#DIV/0!</v>
      </c>
      <c r="I40" s="3" t="e">
        <f t="shared" si="2"/>
        <v>#DIV/0!</v>
      </c>
    </row>
    <row r="41" spans="1:9" x14ac:dyDescent="0.55000000000000004">
      <c r="A41" s="1">
        <v>45697</v>
      </c>
      <c r="G41" s="3">
        <f t="shared" si="0"/>
        <v>0</v>
      </c>
      <c r="H41" s="3" t="e">
        <f t="shared" si="1"/>
        <v>#DIV/0!</v>
      </c>
      <c r="I41" s="3" t="e">
        <f t="shared" si="2"/>
        <v>#DIV/0!</v>
      </c>
    </row>
    <row r="42" spans="1:9" x14ac:dyDescent="0.55000000000000004">
      <c r="A42" s="1">
        <v>45698</v>
      </c>
      <c r="G42" s="3">
        <f t="shared" si="0"/>
        <v>0</v>
      </c>
      <c r="H42" s="3" t="e">
        <f t="shared" si="1"/>
        <v>#DIV/0!</v>
      </c>
      <c r="I42" s="3" t="e">
        <f t="shared" si="2"/>
        <v>#DIV/0!</v>
      </c>
    </row>
    <row r="43" spans="1:9" x14ac:dyDescent="0.55000000000000004">
      <c r="A43" s="1">
        <v>45699</v>
      </c>
      <c r="G43" s="3">
        <f t="shared" si="0"/>
        <v>0</v>
      </c>
      <c r="H43" s="3" t="e">
        <f t="shared" si="1"/>
        <v>#DIV/0!</v>
      </c>
      <c r="I43" s="3" t="e">
        <f t="shared" si="2"/>
        <v>#DIV/0!</v>
      </c>
    </row>
    <row r="44" spans="1:9" x14ac:dyDescent="0.55000000000000004">
      <c r="A44" s="1">
        <v>45700</v>
      </c>
      <c r="G44" s="3">
        <f t="shared" si="0"/>
        <v>0</v>
      </c>
      <c r="H44" s="3" t="e">
        <f t="shared" si="1"/>
        <v>#DIV/0!</v>
      </c>
      <c r="I44" s="3" t="e">
        <f t="shared" si="2"/>
        <v>#DIV/0!</v>
      </c>
    </row>
    <row r="45" spans="1:9" x14ac:dyDescent="0.55000000000000004">
      <c r="A45" s="1">
        <v>45701</v>
      </c>
      <c r="G45" s="3">
        <f t="shared" si="0"/>
        <v>0</v>
      </c>
      <c r="H45" s="3" t="e">
        <f t="shared" si="1"/>
        <v>#DIV/0!</v>
      </c>
      <c r="I45" s="3" t="e">
        <f t="shared" si="2"/>
        <v>#DIV/0!</v>
      </c>
    </row>
    <row r="46" spans="1:9" x14ac:dyDescent="0.55000000000000004">
      <c r="A46" s="1">
        <v>45702</v>
      </c>
      <c r="G46" s="3">
        <f t="shared" si="0"/>
        <v>0</v>
      </c>
      <c r="H46" s="3" t="e">
        <f t="shared" si="1"/>
        <v>#DIV/0!</v>
      </c>
      <c r="I46" s="3" t="e">
        <f t="shared" si="2"/>
        <v>#DIV/0!</v>
      </c>
    </row>
    <row r="47" spans="1:9" x14ac:dyDescent="0.55000000000000004">
      <c r="A47" s="1">
        <v>45703</v>
      </c>
      <c r="G47" s="3">
        <f t="shared" si="0"/>
        <v>0</v>
      </c>
      <c r="H47" s="3" t="e">
        <f t="shared" si="1"/>
        <v>#DIV/0!</v>
      </c>
      <c r="I47" s="3" t="e">
        <f t="shared" si="2"/>
        <v>#DIV/0!</v>
      </c>
    </row>
    <row r="48" spans="1:9" x14ac:dyDescent="0.55000000000000004">
      <c r="A48" s="1">
        <v>45704</v>
      </c>
      <c r="G48" s="3">
        <f t="shared" si="0"/>
        <v>0</v>
      </c>
      <c r="H48" s="3" t="e">
        <f t="shared" si="1"/>
        <v>#DIV/0!</v>
      </c>
      <c r="I48" s="3" t="e">
        <f t="shared" si="2"/>
        <v>#DIV/0!</v>
      </c>
    </row>
    <row r="49" spans="1:9" x14ac:dyDescent="0.55000000000000004">
      <c r="A49" s="1">
        <v>45705</v>
      </c>
      <c r="G49" s="3">
        <f t="shared" si="0"/>
        <v>0</v>
      </c>
      <c r="H49" s="3" t="e">
        <f t="shared" si="1"/>
        <v>#DIV/0!</v>
      </c>
      <c r="I49" s="3" t="e">
        <f t="shared" si="2"/>
        <v>#DIV/0!</v>
      </c>
    </row>
    <row r="50" spans="1:9" x14ac:dyDescent="0.55000000000000004">
      <c r="A50" s="1">
        <v>45706</v>
      </c>
      <c r="G50" s="3">
        <f t="shared" si="0"/>
        <v>0</v>
      </c>
      <c r="H50" s="3" t="e">
        <f t="shared" si="1"/>
        <v>#DIV/0!</v>
      </c>
      <c r="I50" s="3" t="e">
        <f t="shared" si="2"/>
        <v>#DIV/0!</v>
      </c>
    </row>
    <row r="51" spans="1:9" x14ac:dyDescent="0.55000000000000004">
      <c r="A51" s="1">
        <v>45707</v>
      </c>
      <c r="G51" s="3">
        <f t="shared" si="0"/>
        <v>0</v>
      </c>
      <c r="H51" s="3" t="e">
        <f t="shared" si="1"/>
        <v>#DIV/0!</v>
      </c>
      <c r="I51" s="3" t="e">
        <f t="shared" si="2"/>
        <v>#DIV/0!</v>
      </c>
    </row>
    <row r="52" spans="1:9" x14ac:dyDescent="0.55000000000000004">
      <c r="A52" s="1">
        <v>45708</v>
      </c>
      <c r="G52" s="3">
        <f t="shared" si="0"/>
        <v>0</v>
      </c>
      <c r="H52" s="3" t="e">
        <f t="shared" si="1"/>
        <v>#DIV/0!</v>
      </c>
      <c r="I52" s="3" t="e">
        <f t="shared" si="2"/>
        <v>#DIV/0!</v>
      </c>
    </row>
    <row r="53" spans="1:9" x14ac:dyDescent="0.55000000000000004">
      <c r="A53" s="1">
        <v>45709</v>
      </c>
      <c r="G53" s="3">
        <f t="shared" si="0"/>
        <v>0</v>
      </c>
      <c r="H53" s="3" t="e">
        <f t="shared" si="1"/>
        <v>#DIV/0!</v>
      </c>
      <c r="I53" s="3" t="e">
        <f t="shared" si="2"/>
        <v>#DIV/0!</v>
      </c>
    </row>
    <row r="54" spans="1:9" x14ac:dyDescent="0.55000000000000004">
      <c r="A54" s="1">
        <v>45710</v>
      </c>
      <c r="G54" s="3">
        <f t="shared" si="0"/>
        <v>0</v>
      </c>
      <c r="H54" s="3" t="e">
        <f t="shared" si="1"/>
        <v>#DIV/0!</v>
      </c>
      <c r="I54" s="3" t="e">
        <f t="shared" si="2"/>
        <v>#DIV/0!</v>
      </c>
    </row>
    <row r="55" spans="1:9" x14ac:dyDescent="0.55000000000000004">
      <c r="A55" s="1">
        <v>45711</v>
      </c>
      <c r="G55" s="3">
        <f t="shared" si="0"/>
        <v>0</v>
      </c>
      <c r="H55" s="3" t="e">
        <f t="shared" si="1"/>
        <v>#DIV/0!</v>
      </c>
      <c r="I55" s="3" t="e">
        <f t="shared" si="2"/>
        <v>#DIV/0!</v>
      </c>
    </row>
    <row r="56" spans="1:9" x14ac:dyDescent="0.55000000000000004">
      <c r="A56" s="1">
        <v>45712</v>
      </c>
      <c r="G56" s="3">
        <f t="shared" si="0"/>
        <v>0</v>
      </c>
      <c r="H56" s="3" t="e">
        <f t="shared" si="1"/>
        <v>#DIV/0!</v>
      </c>
      <c r="I56" s="3" t="e">
        <f t="shared" si="2"/>
        <v>#DIV/0!</v>
      </c>
    </row>
    <row r="57" spans="1:9" x14ac:dyDescent="0.55000000000000004">
      <c r="A57" s="1">
        <v>45713</v>
      </c>
      <c r="G57" s="3">
        <f t="shared" si="0"/>
        <v>0</v>
      </c>
      <c r="H57" s="3" t="e">
        <f t="shared" si="1"/>
        <v>#DIV/0!</v>
      </c>
      <c r="I57" s="3" t="e">
        <f t="shared" si="2"/>
        <v>#DIV/0!</v>
      </c>
    </row>
    <row r="58" spans="1:9" x14ac:dyDescent="0.55000000000000004">
      <c r="A58" s="1">
        <v>45714</v>
      </c>
      <c r="G58" s="3">
        <f t="shared" si="0"/>
        <v>0</v>
      </c>
      <c r="H58" s="3" t="e">
        <f t="shared" si="1"/>
        <v>#DIV/0!</v>
      </c>
      <c r="I58" s="3" t="e">
        <f t="shared" si="2"/>
        <v>#DIV/0!</v>
      </c>
    </row>
    <row r="59" spans="1:9" x14ac:dyDescent="0.55000000000000004">
      <c r="A59" s="1">
        <v>45715</v>
      </c>
      <c r="G59" s="3">
        <f t="shared" si="0"/>
        <v>0</v>
      </c>
      <c r="H59" s="3" t="e">
        <f t="shared" si="1"/>
        <v>#DIV/0!</v>
      </c>
      <c r="I59" s="3" t="e">
        <f t="shared" si="2"/>
        <v>#DIV/0!</v>
      </c>
    </row>
    <row r="60" spans="1:9" x14ac:dyDescent="0.55000000000000004">
      <c r="A60" s="1">
        <v>45716</v>
      </c>
      <c r="G60" s="3">
        <f t="shared" si="0"/>
        <v>0</v>
      </c>
      <c r="H60" s="3" t="e">
        <f t="shared" si="1"/>
        <v>#DIV/0!</v>
      </c>
      <c r="I60" s="3" t="e">
        <f t="shared" si="2"/>
        <v>#DIV/0!</v>
      </c>
    </row>
    <row r="61" spans="1:9" x14ac:dyDescent="0.55000000000000004">
      <c r="A61" s="1">
        <v>45717</v>
      </c>
      <c r="G61" s="3">
        <f t="shared" si="0"/>
        <v>0</v>
      </c>
      <c r="H61" s="3" t="e">
        <f t="shared" si="1"/>
        <v>#DIV/0!</v>
      </c>
      <c r="I61" s="3" t="e">
        <f t="shared" si="2"/>
        <v>#DIV/0!</v>
      </c>
    </row>
    <row r="62" spans="1:9" x14ac:dyDescent="0.55000000000000004">
      <c r="A62" s="1">
        <v>45718</v>
      </c>
      <c r="G62" s="3">
        <f t="shared" si="0"/>
        <v>0</v>
      </c>
      <c r="H62" s="3" t="e">
        <f t="shared" si="1"/>
        <v>#DIV/0!</v>
      </c>
      <c r="I62" s="3" t="e">
        <f t="shared" si="2"/>
        <v>#DIV/0!</v>
      </c>
    </row>
    <row r="63" spans="1:9" x14ac:dyDescent="0.55000000000000004">
      <c r="A63" s="1">
        <v>45719</v>
      </c>
      <c r="G63" s="3">
        <f t="shared" si="0"/>
        <v>0</v>
      </c>
      <c r="H63" s="3" t="e">
        <f t="shared" si="1"/>
        <v>#DIV/0!</v>
      </c>
      <c r="I63" s="3" t="e">
        <f t="shared" si="2"/>
        <v>#DIV/0!</v>
      </c>
    </row>
    <row r="64" spans="1:9" x14ac:dyDescent="0.55000000000000004">
      <c r="A64" s="1">
        <v>45720</v>
      </c>
      <c r="G64" s="3">
        <f t="shared" si="0"/>
        <v>0</v>
      </c>
      <c r="H64" s="3" t="e">
        <f t="shared" si="1"/>
        <v>#DIV/0!</v>
      </c>
      <c r="I64" s="3" t="e">
        <f t="shared" si="2"/>
        <v>#DIV/0!</v>
      </c>
    </row>
    <row r="65" spans="1:9" x14ac:dyDescent="0.55000000000000004">
      <c r="A65" s="1">
        <v>45721</v>
      </c>
      <c r="G65" s="3">
        <f t="shared" si="0"/>
        <v>0</v>
      </c>
      <c r="H65" s="3" t="e">
        <f t="shared" si="1"/>
        <v>#DIV/0!</v>
      </c>
      <c r="I65" s="3" t="e">
        <f t="shared" si="2"/>
        <v>#DIV/0!</v>
      </c>
    </row>
    <row r="66" spans="1:9" x14ac:dyDescent="0.55000000000000004">
      <c r="A66" s="1">
        <v>45722</v>
      </c>
      <c r="G66" s="3">
        <f t="shared" ref="G66:G129" si="3">C66+D66+E66+F66</f>
        <v>0</v>
      </c>
      <c r="H66" s="3" t="e">
        <f t="shared" ref="H66:H129" si="4">C66/B66</f>
        <v>#DIV/0!</v>
      </c>
      <c r="I66" s="3" t="e">
        <f t="shared" ref="I66:I129" si="5">G66/B66</f>
        <v>#DIV/0!</v>
      </c>
    </row>
    <row r="67" spans="1:9" x14ac:dyDescent="0.55000000000000004">
      <c r="A67" s="1">
        <v>45723</v>
      </c>
      <c r="G67" s="3">
        <f t="shared" si="3"/>
        <v>0</v>
      </c>
      <c r="H67" s="3" t="e">
        <f t="shared" si="4"/>
        <v>#DIV/0!</v>
      </c>
      <c r="I67" s="3" t="e">
        <f t="shared" si="5"/>
        <v>#DIV/0!</v>
      </c>
    </row>
    <row r="68" spans="1:9" x14ac:dyDescent="0.55000000000000004">
      <c r="A68" s="1">
        <v>45724</v>
      </c>
      <c r="G68" s="3">
        <f t="shared" si="3"/>
        <v>0</v>
      </c>
      <c r="H68" s="3" t="e">
        <f t="shared" si="4"/>
        <v>#DIV/0!</v>
      </c>
      <c r="I68" s="3" t="e">
        <f t="shared" si="5"/>
        <v>#DIV/0!</v>
      </c>
    </row>
    <row r="69" spans="1:9" x14ac:dyDescent="0.55000000000000004">
      <c r="A69" s="1">
        <v>45725</v>
      </c>
      <c r="G69" s="3">
        <f t="shared" si="3"/>
        <v>0</v>
      </c>
      <c r="H69" s="3" t="e">
        <f t="shared" si="4"/>
        <v>#DIV/0!</v>
      </c>
      <c r="I69" s="3" t="e">
        <f t="shared" si="5"/>
        <v>#DIV/0!</v>
      </c>
    </row>
    <row r="70" spans="1:9" x14ac:dyDescent="0.55000000000000004">
      <c r="A70" s="1">
        <v>45726</v>
      </c>
      <c r="G70" s="3">
        <f t="shared" si="3"/>
        <v>0</v>
      </c>
      <c r="H70" s="3" t="e">
        <f t="shared" si="4"/>
        <v>#DIV/0!</v>
      </c>
      <c r="I70" s="3" t="e">
        <f t="shared" si="5"/>
        <v>#DIV/0!</v>
      </c>
    </row>
    <row r="71" spans="1:9" x14ac:dyDescent="0.55000000000000004">
      <c r="A71" s="1">
        <v>45727</v>
      </c>
      <c r="G71" s="3">
        <f t="shared" si="3"/>
        <v>0</v>
      </c>
      <c r="H71" s="3" t="e">
        <f t="shared" si="4"/>
        <v>#DIV/0!</v>
      </c>
      <c r="I71" s="3" t="e">
        <f t="shared" si="5"/>
        <v>#DIV/0!</v>
      </c>
    </row>
    <row r="72" spans="1:9" x14ac:dyDescent="0.55000000000000004">
      <c r="A72" s="1">
        <v>45728</v>
      </c>
      <c r="G72" s="3">
        <f t="shared" si="3"/>
        <v>0</v>
      </c>
      <c r="H72" s="3" t="e">
        <f t="shared" si="4"/>
        <v>#DIV/0!</v>
      </c>
      <c r="I72" s="3" t="e">
        <f t="shared" si="5"/>
        <v>#DIV/0!</v>
      </c>
    </row>
    <row r="73" spans="1:9" x14ac:dyDescent="0.55000000000000004">
      <c r="A73" s="1">
        <v>45729</v>
      </c>
      <c r="G73" s="3">
        <f t="shared" si="3"/>
        <v>0</v>
      </c>
      <c r="H73" s="3" t="e">
        <f t="shared" si="4"/>
        <v>#DIV/0!</v>
      </c>
      <c r="I73" s="3" t="e">
        <f t="shared" si="5"/>
        <v>#DIV/0!</v>
      </c>
    </row>
    <row r="74" spans="1:9" x14ac:dyDescent="0.55000000000000004">
      <c r="A74" s="1">
        <v>45730</v>
      </c>
      <c r="B74" s="2">
        <v>9</v>
      </c>
      <c r="C74" s="2">
        <v>4352</v>
      </c>
      <c r="G74" s="3">
        <f t="shared" si="3"/>
        <v>4352</v>
      </c>
      <c r="H74" s="3">
        <f t="shared" si="4"/>
        <v>483.55555555555554</v>
      </c>
      <c r="I74" s="3">
        <f t="shared" si="5"/>
        <v>483.55555555555554</v>
      </c>
    </row>
    <row r="75" spans="1:9" x14ac:dyDescent="0.55000000000000004">
      <c r="A75" s="1">
        <v>45731</v>
      </c>
      <c r="B75" s="2">
        <v>7</v>
      </c>
      <c r="C75" s="2">
        <v>3209</v>
      </c>
      <c r="G75" s="3">
        <f t="shared" si="3"/>
        <v>3209</v>
      </c>
      <c r="H75" s="3">
        <f t="shared" si="4"/>
        <v>458.42857142857144</v>
      </c>
      <c r="I75" s="3">
        <f t="shared" si="5"/>
        <v>458.42857142857144</v>
      </c>
    </row>
    <row r="76" spans="1:9" x14ac:dyDescent="0.55000000000000004">
      <c r="A76" s="1">
        <v>45732</v>
      </c>
      <c r="G76" s="3">
        <f t="shared" si="3"/>
        <v>0</v>
      </c>
      <c r="H76" s="3" t="e">
        <f t="shared" si="4"/>
        <v>#DIV/0!</v>
      </c>
      <c r="I76" s="3" t="e">
        <f t="shared" si="5"/>
        <v>#DIV/0!</v>
      </c>
    </row>
    <row r="77" spans="1:9" x14ac:dyDescent="0.55000000000000004">
      <c r="A77" s="1">
        <v>45733</v>
      </c>
      <c r="B77" s="2">
        <v>5</v>
      </c>
      <c r="C77" s="2">
        <v>2137</v>
      </c>
      <c r="F77" s="2">
        <v>69</v>
      </c>
      <c r="G77" s="3">
        <f t="shared" si="3"/>
        <v>2206</v>
      </c>
      <c r="H77" s="3">
        <f t="shared" si="4"/>
        <v>427.4</v>
      </c>
      <c r="I77" s="3">
        <f t="shared" si="5"/>
        <v>441.2</v>
      </c>
    </row>
    <row r="78" spans="1:9" x14ac:dyDescent="0.55000000000000004">
      <c r="A78" s="1">
        <v>45734</v>
      </c>
      <c r="B78" s="2">
        <v>26</v>
      </c>
      <c r="C78" s="2">
        <v>12760</v>
      </c>
      <c r="F78" s="2">
        <v>100</v>
      </c>
      <c r="G78" s="3">
        <f t="shared" si="3"/>
        <v>12860</v>
      </c>
      <c r="H78" s="3">
        <f t="shared" si="4"/>
        <v>490.76923076923077</v>
      </c>
      <c r="I78" s="3">
        <f t="shared" si="5"/>
        <v>494.61538461538464</v>
      </c>
    </row>
    <row r="79" spans="1:9" x14ac:dyDescent="0.55000000000000004">
      <c r="A79" s="1">
        <v>45735</v>
      </c>
      <c r="B79" s="2">
        <v>12</v>
      </c>
      <c r="C79" s="2">
        <v>4562</v>
      </c>
      <c r="G79" s="3">
        <f t="shared" si="3"/>
        <v>4562</v>
      </c>
      <c r="H79" s="3">
        <f t="shared" si="4"/>
        <v>380.16666666666669</v>
      </c>
      <c r="I79" s="3">
        <f t="shared" si="5"/>
        <v>380.16666666666669</v>
      </c>
    </row>
    <row r="80" spans="1:9" x14ac:dyDescent="0.55000000000000004">
      <c r="A80" s="1">
        <v>45736</v>
      </c>
      <c r="B80" s="2">
        <v>24</v>
      </c>
      <c r="C80" s="2">
        <v>10153</v>
      </c>
      <c r="G80" s="3">
        <f t="shared" si="3"/>
        <v>10153</v>
      </c>
      <c r="H80" s="3">
        <f t="shared" si="4"/>
        <v>423.04166666666669</v>
      </c>
      <c r="I80" s="3">
        <f t="shared" si="5"/>
        <v>423.04166666666669</v>
      </c>
    </row>
    <row r="81" spans="1:9" x14ac:dyDescent="0.55000000000000004">
      <c r="A81" s="1">
        <v>45737</v>
      </c>
      <c r="B81" s="2">
        <v>2</v>
      </c>
      <c r="C81" s="2">
        <v>715</v>
      </c>
      <c r="G81" s="3">
        <f t="shared" si="3"/>
        <v>715</v>
      </c>
      <c r="H81" s="3">
        <f t="shared" si="4"/>
        <v>357.5</v>
      </c>
      <c r="I81" s="3">
        <f t="shared" si="5"/>
        <v>357.5</v>
      </c>
    </row>
    <row r="82" spans="1:9" x14ac:dyDescent="0.55000000000000004">
      <c r="A82" s="1">
        <v>45738</v>
      </c>
      <c r="B82" s="2">
        <v>11</v>
      </c>
      <c r="C82" s="2">
        <v>5098</v>
      </c>
      <c r="G82" s="3">
        <f t="shared" si="3"/>
        <v>5098</v>
      </c>
      <c r="H82" s="3">
        <f t="shared" si="4"/>
        <v>463.45454545454544</v>
      </c>
      <c r="I82" s="3">
        <f t="shared" si="5"/>
        <v>463.45454545454544</v>
      </c>
    </row>
    <row r="83" spans="1:9" x14ac:dyDescent="0.55000000000000004">
      <c r="A83" s="1">
        <v>45739</v>
      </c>
      <c r="B83" s="2">
        <v>10</v>
      </c>
      <c r="C83" s="2">
        <v>3670</v>
      </c>
      <c r="G83" s="3">
        <f t="shared" si="3"/>
        <v>3670</v>
      </c>
      <c r="H83" s="3">
        <f t="shared" si="4"/>
        <v>367</v>
      </c>
      <c r="I83" s="3">
        <f t="shared" si="5"/>
        <v>367</v>
      </c>
    </row>
    <row r="84" spans="1:9" x14ac:dyDescent="0.55000000000000004">
      <c r="A84" s="1">
        <v>45740</v>
      </c>
      <c r="B84" s="2">
        <v>10</v>
      </c>
      <c r="C84" s="2">
        <v>3787</v>
      </c>
      <c r="D84" s="2">
        <v>750</v>
      </c>
      <c r="F84" s="2">
        <v>192</v>
      </c>
      <c r="G84" s="3">
        <f t="shared" si="3"/>
        <v>4729</v>
      </c>
      <c r="H84" s="3">
        <f t="shared" si="4"/>
        <v>378.7</v>
      </c>
      <c r="I84" s="3">
        <f t="shared" si="5"/>
        <v>472.9</v>
      </c>
    </row>
    <row r="85" spans="1:9" x14ac:dyDescent="0.55000000000000004">
      <c r="A85" s="1">
        <v>45741</v>
      </c>
      <c r="B85" s="2">
        <v>15</v>
      </c>
      <c r="C85" s="2">
        <v>6955</v>
      </c>
      <c r="D85" s="2">
        <v>1125</v>
      </c>
      <c r="F85" s="2">
        <v>388</v>
      </c>
      <c r="G85" s="3">
        <f t="shared" si="3"/>
        <v>8468</v>
      </c>
      <c r="H85" s="3">
        <f t="shared" si="4"/>
        <v>463.66666666666669</v>
      </c>
      <c r="I85" s="3">
        <f t="shared" si="5"/>
        <v>564.5333333333333</v>
      </c>
    </row>
    <row r="86" spans="1:9" x14ac:dyDescent="0.55000000000000004">
      <c r="A86" s="1">
        <v>45742</v>
      </c>
      <c r="G86" s="3">
        <f t="shared" si="3"/>
        <v>0</v>
      </c>
      <c r="H86" s="3" t="e">
        <f t="shared" si="4"/>
        <v>#DIV/0!</v>
      </c>
      <c r="I86" s="3" t="e">
        <f t="shared" si="5"/>
        <v>#DIV/0!</v>
      </c>
    </row>
    <row r="87" spans="1:9" x14ac:dyDescent="0.55000000000000004">
      <c r="A87" s="1">
        <v>45743</v>
      </c>
      <c r="B87" s="2">
        <v>21</v>
      </c>
      <c r="C87" s="2">
        <v>10466</v>
      </c>
      <c r="G87" s="3">
        <f t="shared" si="3"/>
        <v>10466</v>
      </c>
      <c r="H87" s="3">
        <f t="shared" si="4"/>
        <v>498.38095238095241</v>
      </c>
      <c r="I87" s="3">
        <f t="shared" si="5"/>
        <v>498.38095238095241</v>
      </c>
    </row>
    <row r="88" spans="1:9" x14ac:dyDescent="0.55000000000000004">
      <c r="A88" s="1">
        <v>45744</v>
      </c>
      <c r="B88" s="2">
        <v>13</v>
      </c>
      <c r="C88" s="2">
        <v>5812</v>
      </c>
      <c r="G88" s="3">
        <f t="shared" si="3"/>
        <v>5812</v>
      </c>
      <c r="H88" s="3">
        <f t="shared" si="4"/>
        <v>447.07692307692309</v>
      </c>
      <c r="I88" s="3">
        <f t="shared" si="5"/>
        <v>447.07692307692309</v>
      </c>
    </row>
    <row r="89" spans="1:9" x14ac:dyDescent="0.55000000000000004">
      <c r="A89" s="1">
        <v>45745</v>
      </c>
      <c r="B89" s="2">
        <v>3</v>
      </c>
      <c r="C89" s="2">
        <v>1332</v>
      </c>
      <c r="G89" s="3">
        <f t="shared" si="3"/>
        <v>1332</v>
      </c>
      <c r="H89" s="3">
        <f t="shared" si="4"/>
        <v>444</v>
      </c>
      <c r="I89" s="3">
        <f t="shared" si="5"/>
        <v>444</v>
      </c>
    </row>
    <row r="90" spans="1:9" x14ac:dyDescent="0.55000000000000004">
      <c r="A90" s="1">
        <v>45746</v>
      </c>
      <c r="B90" s="2">
        <v>1</v>
      </c>
      <c r="C90" s="2">
        <v>922</v>
      </c>
      <c r="G90" s="3">
        <f t="shared" si="3"/>
        <v>922</v>
      </c>
      <c r="H90" s="3">
        <f t="shared" si="4"/>
        <v>922</v>
      </c>
      <c r="I90" s="3">
        <f t="shared" si="5"/>
        <v>922</v>
      </c>
    </row>
    <row r="91" spans="1:9" x14ac:dyDescent="0.55000000000000004">
      <c r="A91" s="1">
        <v>45747</v>
      </c>
      <c r="G91" s="3">
        <f t="shared" si="3"/>
        <v>0</v>
      </c>
      <c r="H91" s="3" t="e">
        <f t="shared" si="4"/>
        <v>#DIV/0!</v>
      </c>
      <c r="I91" s="3" t="e">
        <f t="shared" si="5"/>
        <v>#DIV/0!</v>
      </c>
    </row>
    <row r="92" spans="1:9" x14ac:dyDescent="0.55000000000000004">
      <c r="A92" s="1">
        <v>45748</v>
      </c>
      <c r="G92" s="3">
        <f t="shared" si="3"/>
        <v>0</v>
      </c>
      <c r="H92" s="3" t="e">
        <f t="shared" si="4"/>
        <v>#DIV/0!</v>
      </c>
      <c r="I92" s="3" t="e">
        <f t="shared" si="5"/>
        <v>#DIV/0!</v>
      </c>
    </row>
    <row r="93" spans="1:9" x14ac:dyDescent="0.55000000000000004">
      <c r="A93" s="1">
        <v>45749</v>
      </c>
      <c r="B93" s="2">
        <v>15</v>
      </c>
      <c r="C93" s="2">
        <v>5439</v>
      </c>
      <c r="G93" s="3">
        <f t="shared" si="3"/>
        <v>5439</v>
      </c>
      <c r="H93" s="3">
        <f t="shared" si="4"/>
        <v>362.6</v>
      </c>
      <c r="I93" s="3">
        <f t="shared" si="5"/>
        <v>362.6</v>
      </c>
    </row>
    <row r="94" spans="1:9" x14ac:dyDescent="0.55000000000000004">
      <c r="A94" s="1">
        <v>45750</v>
      </c>
      <c r="B94" s="2">
        <v>10</v>
      </c>
      <c r="C94" s="2">
        <v>3247</v>
      </c>
      <c r="D94" s="2">
        <v>2800</v>
      </c>
      <c r="F94" s="2">
        <v>289</v>
      </c>
      <c r="G94" s="3">
        <f t="shared" si="3"/>
        <v>6336</v>
      </c>
      <c r="H94" s="3">
        <f t="shared" si="4"/>
        <v>324.7</v>
      </c>
      <c r="I94" s="3">
        <f t="shared" si="5"/>
        <v>633.6</v>
      </c>
    </row>
    <row r="95" spans="1:9" x14ac:dyDescent="0.55000000000000004">
      <c r="A95" s="1">
        <v>45751</v>
      </c>
      <c r="B95" s="2">
        <v>32</v>
      </c>
      <c r="C95" s="2">
        <v>13419</v>
      </c>
      <c r="D95" s="2">
        <v>3000</v>
      </c>
      <c r="G95" s="3">
        <f t="shared" si="3"/>
        <v>16419</v>
      </c>
      <c r="H95" s="3">
        <f t="shared" si="4"/>
        <v>419.34375</v>
      </c>
      <c r="I95" s="3">
        <f t="shared" si="5"/>
        <v>513.09375</v>
      </c>
    </row>
    <row r="96" spans="1:9" x14ac:dyDescent="0.55000000000000004">
      <c r="A96" s="1">
        <v>45752</v>
      </c>
      <c r="B96" s="2">
        <v>21</v>
      </c>
      <c r="C96" s="2">
        <v>8298</v>
      </c>
      <c r="D96" s="2">
        <v>1500</v>
      </c>
      <c r="F96" s="2">
        <v>388</v>
      </c>
      <c r="G96" s="3">
        <f t="shared" si="3"/>
        <v>10186</v>
      </c>
      <c r="H96" s="3">
        <f t="shared" si="4"/>
        <v>395.14285714285717</v>
      </c>
      <c r="I96" s="3">
        <f t="shared" si="5"/>
        <v>485.04761904761904</v>
      </c>
    </row>
    <row r="97" spans="1:9" x14ac:dyDescent="0.55000000000000004">
      <c r="A97" s="1">
        <v>45753</v>
      </c>
      <c r="B97" s="2">
        <v>11</v>
      </c>
      <c r="C97" s="2">
        <v>5195</v>
      </c>
      <c r="F97" s="2">
        <v>240</v>
      </c>
      <c r="G97" s="3">
        <f t="shared" si="3"/>
        <v>5435</v>
      </c>
      <c r="H97" s="3">
        <f t="shared" si="4"/>
        <v>472.27272727272725</v>
      </c>
      <c r="I97" s="3">
        <f t="shared" si="5"/>
        <v>494.09090909090907</v>
      </c>
    </row>
    <row r="98" spans="1:9" x14ac:dyDescent="0.55000000000000004">
      <c r="A98" s="1">
        <v>45754</v>
      </c>
      <c r="B98" s="2">
        <v>13</v>
      </c>
      <c r="C98" s="2">
        <v>5244</v>
      </c>
      <c r="G98" s="3">
        <f t="shared" si="3"/>
        <v>5244</v>
      </c>
      <c r="H98" s="3">
        <f t="shared" si="4"/>
        <v>403.38461538461536</v>
      </c>
      <c r="I98" s="3">
        <f t="shared" si="5"/>
        <v>403.38461538461536</v>
      </c>
    </row>
    <row r="99" spans="1:9" x14ac:dyDescent="0.55000000000000004">
      <c r="A99" s="1">
        <v>45755</v>
      </c>
      <c r="G99" s="3">
        <f t="shared" si="3"/>
        <v>0</v>
      </c>
      <c r="H99" s="3" t="e">
        <f t="shared" si="4"/>
        <v>#DIV/0!</v>
      </c>
      <c r="I99" s="3" t="e">
        <f t="shared" si="5"/>
        <v>#DIV/0!</v>
      </c>
    </row>
    <row r="100" spans="1:9" x14ac:dyDescent="0.55000000000000004">
      <c r="A100" s="1">
        <v>45756</v>
      </c>
      <c r="G100" s="3">
        <f t="shared" si="3"/>
        <v>0</v>
      </c>
      <c r="H100" s="3" t="e">
        <f t="shared" si="4"/>
        <v>#DIV/0!</v>
      </c>
      <c r="I100" s="3" t="e">
        <f t="shared" si="5"/>
        <v>#DIV/0!</v>
      </c>
    </row>
    <row r="101" spans="1:9" x14ac:dyDescent="0.55000000000000004">
      <c r="A101" s="1">
        <v>45757</v>
      </c>
      <c r="G101" s="3">
        <f t="shared" si="3"/>
        <v>0</v>
      </c>
      <c r="H101" s="3" t="e">
        <f t="shared" si="4"/>
        <v>#DIV/0!</v>
      </c>
      <c r="I101" s="3" t="e">
        <f t="shared" si="5"/>
        <v>#DIV/0!</v>
      </c>
    </row>
    <row r="102" spans="1:9" x14ac:dyDescent="0.55000000000000004">
      <c r="A102" s="1">
        <v>45758</v>
      </c>
      <c r="B102" s="2">
        <v>14</v>
      </c>
      <c r="C102" s="2">
        <v>5336</v>
      </c>
      <c r="D102" s="2">
        <v>5600</v>
      </c>
      <c r="F102" s="2">
        <v>898</v>
      </c>
      <c r="G102" s="3">
        <f t="shared" si="3"/>
        <v>11834</v>
      </c>
      <c r="H102" s="3">
        <f t="shared" si="4"/>
        <v>381.14285714285717</v>
      </c>
      <c r="I102" s="3">
        <f t="shared" si="5"/>
        <v>845.28571428571433</v>
      </c>
    </row>
    <row r="103" spans="1:9" x14ac:dyDescent="0.55000000000000004">
      <c r="A103" s="1">
        <v>45759</v>
      </c>
      <c r="B103" s="2">
        <v>10</v>
      </c>
      <c r="C103" s="2">
        <v>4498</v>
      </c>
      <c r="G103" s="3">
        <f t="shared" si="3"/>
        <v>4498</v>
      </c>
      <c r="H103" s="3">
        <f t="shared" si="4"/>
        <v>449.8</v>
      </c>
      <c r="I103" s="3">
        <f t="shared" si="5"/>
        <v>449.8</v>
      </c>
    </row>
    <row r="104" spans="1:9" x14ac:dyDescent="0.55000000000000004">
      <c r="A104" s="1">
        <v>45760</v>
      </c>
      <c r="B104" s="2">
        <v>21</v>
      </c>
      <c r="C104" s="2">
        <v>9632</v>
      </c>
      <c r="D104" s="2">
        <v>8250</v>
      </c>
      <c r="G104" s="3">
        <f t="shared" si="3"/>
        <v>17882</v>
      </c>
      <c r="H104" s="3">
        <f t="shared" si="4"/>
        <v>458.66666666666669</v>
      </c>
      <c r="I104" s="3">
        <f t="shared" si="5"/>
        <v>851.52380952380952</v>
      </c>
    </row>
    <row r="105" spans="1:9" x14ac:dyDescent="0.55000000000000004">
      <c r="A105" s="1">
        <v>45761</v>
      </c>
      <c r="B105" s="2">
        <v>17</v>
      </c>
      <c r="C105" s="2">
        <v>5336</v>
      </c>
      <c r="G105" s="3">
        <f t="shared" si="3"/>
        <v>5336</v>
      </c>
      <c r="H105" s="3">
        <f t="shared" si="4"/>
        <v>313.88235294117646</v>
      </c>
      <c r="I105" s="3">
        <f t="shared" si="5"/>
        <v>313.88235294117646</v>
      </c>
    </row>
    <row r="106" spans="1:9" x14ac:dyDescent="0.55000000000000004">
      <c r="A106" s="1">
        <v>45762</v>
      </c>
      <c r="G106" s="3">
        <f t="shared" si="3"/>
        <v>0</v>
      </c>
      <c r="H106" s="3" t="e">
        <f t="shared" si="4"/>
        <v>#DIV/0!</v>
      </c>
      <c r="I106" s="3" t="e">
        <f t="shared" si="5"/>
        <v>#DIV/0!</v>
      </c>
    </row>
    <row r="107" spans="1:9" x14ac:dyDescent="0.55000000000000004">
      <c r="A107" s="1">
        <v>45763</v>
      </c>
      <c r="B107" s="2">
        <v>23</v>
      </c>
      <c r="C107" s="2">
        <v>9733</v>
      </c>
      <c r="F107" s="2">
        <v>648</v>
      </c>
      <c r="G107" s="3">
        <f t="shared" si="3"/>
        <v>10381</v>
      </c>
      <c r="H107" s="3">
        <f t="shared" si="4"/>
        <v>423.17391304347825</v>
      </c>
      <c r="I107" s="3">
        <f t="shared" si="5"/>
        <v>451.3478260869565</v>
      </c>
    </row>
    <row r="108" spans="1:9" x14ac:dyDescent="0.55000000000000004">
      <c r="A108" s="1">
        <v>45764</v>
      </c>
      <c r="B108" s="2">
        <v>7</v>
      </c>
      <c r="C108" s="2">
        <v>3529</v>
      </c>
      <c r="D108" s="2">
        <v>3000</v>
      </c>
      <c r="G108" s="3">
        <f t="shared" si="3"/>
        <v>6529</v>
      </c>
      <c r="H108" s="3">
        <f t="shared" si="4"/>
        <v>504.14285714285717</v>
      </c>
      <c r="I108" s="3">
        <f t="shared" si="5"/>
        <v>932.71428571428567</v>
      </c>
    </row>
    <row r="109" spans="1:9" x14ac:dyDescent="0.55000000000000004">
      <c r="A109" s="1">
        <v>45765</v>
      </c>
      <c r="B109" s="2">
        <v>19</v>
      </c>
      <c r="C109" s="2">
        <v>8906</v>
      </c>
      <c r="F109" s="2">
        <v>320</v>
      </c>
      <c r="G109" s="3">
        <f t="shared" si="3"/>
        <v>9226</v>
      </c>
      <c r="H109" s="3">
        <f t="shared" si="4"/>
        <v>468.73684210526318</v>
      </c>
      <c r="I109" s="3">
        <f t="shared" si="5"/>
        <v>485.57894736842104</v>
      </c>
    </row>
    <row r="110" spans="1:9" x14ac:dyDescent="0.55000000000000004">
      <c r="A110" s="1">
        <v>45766</v>
      </c>
      <c r="G110" s="3">
        <f t="shared" si="3"/>
        <v>0</v>
      </c>
      <c r="H110" s="3" t="e">
        <f t="shared" si="4"/>
        <v>#DIV/0!</v>
      </c>
      <c r="I110" s="3" t="e">
        <f t="shared" si="5"/>
        <v>#DIV/0!</v>
      </c>
    </row>
    <row r="111" spans="1:9" x14ac:dyDescent="0.55000000000000004">
      <c r="A111" s="1">
        <v>45767</v>
      </c>
      <c r="G111" s="3">
        <f t="shared" si="3"/>
        <v>0</v>
      </c>
      <c r="H111" s="3" t="e">
        <f t="shared" si="4"/>
        <v>#DIV/0!</v>
      </c>
      <c r="I111" s="3" t="e">
        <f t="shared" si="5"/>
        <v>#DIV/0!</v>
      </c>
    </row>
    <row r="112" spans="1:9" x14ac:dyDescent="0.55000000000000004">
      <c r="A112" s="1">
        <v>45768</v>
      </c>
      <c r="G112" s="3">
        <f t="shared" si="3"/>
        <v>0</v>
      </c>
      <c r="H112" s="3" t="e">
        <f t="shared" si="4"/>
        <v>#DIV/0!</v>
      </c>
      <c r="I112" s="3" t="e">
        <f t="shared" si="5"/>
        <v>#DIV/0!</v>
      </c>
    </row>
    <row r="113" spans="1:9" x14ac:dyDescent="0.55000000000000004">
      <c r="A113" s="1">
        <v>45769</v>
      </c>
      <c r="G113" s="3">
        <f t="shared" si="3"/>
        <v>0</v>
      </c>
      <c r="H113" s="3" t="e">
        <f t="shared" si="4"/>
        <v>#DIV/0!</v>
      </c>
      <c r="I113" s="3" t="e">
        <f t="shared" si="5"/>
        <v>#DIV/0!</v>
      </c>
    </row>
    <row r="114" spans="1:9" x14ac:dyDescent="0.55000000000000004">
      <c r="A114" s="1">
        <v>45770</v>
      </c>
      <c r="G114" s="3">
        <f t="shared" si="3"/>
        <v>0</v>
      </c>
      <c r="H114" s="3" t="e">
        <f t="shared" si="4"/>
        <v>#DIV/0!</v>
      </c>
      <c r="I114" s="3" t="e">
        <f t="shared" si="5"/>
        <v>#DIV/0!</v>
      </c>
    </row>
    <row r="115" spans="1:9" x14ac:dyDescent="0.55000000000000004">
      <c r="A115" s="1">
        <v>45771</v>
      </c>
      <c r="G115" s="3">
        <f t="shared" si="3"/>
        <v>0</v>
      </c>
      <c r="H115" s="3" t="e">
        <f t="shared" si="4"/>
        <v>#DIV/0!</v>
      </c>
      <c r="I115" s="3" t="e">
        <f t="shared" si="5"/>
        <v>#DIV/0!</v>
      </c>
    </row>
    <row r="116" spans="1:9" x14ac:dyDescent="0.55000000000000004">
      <c r="A116" s="1">
        <v>45772</v>
      </c>
      <c r="G116" s="3">
        <f t="shared" si="3"/>
        <v>0</v>
      </c>
      <c r="H116" s="3" t="e">
        <f t="shared" si="4"/>
        <v>#DIV/0!</v>
      </c>
      <c r="I116" s="3" t="e">
        <f t="shared" si="5"/>
        <v>#DIV/0!</v>
      </c>
    </row>
    <row r="117" spans="1:9" x14ac:dyDescent="0.55000000000000004">
      <c r="A117" s="1">
        <v>45773</v>
      </c>
      <c r="G117" s="3">
        <f t="shared" si="3"/>
        <v>0</v>
      </c>
      <c r="H117" s="3" t="e">
        <f t="shared" si="4"/>
        <v>#DIV/0!</v>
      </c>
      <c r="I117" s="3" t="e">
        <f t="shared" si="5"/>
        <v>#DIV/0!</v>
      </c>
    </row>
    <row r="118" spans="1:9" x14ac:dyDescent="0.55000000000000004">
      <c r="A118" s="1">
        <v>45774</v>
      </c>
      <c r="G118" s="3">
        <f t="shared" si="3"/>
        <v>0</v>
      </c>
      <c r="H118" s="3" t="e">
        <f t="shared" si="4"/>
        <v>#DIV/0!</v>
      </c>
      <c r="I118" s="3" t="e">
        <f t="shared" si="5"/>
        <v>#DIV/0!</v>
      </c>
    </row>
    <row r="119" spans="1:9" x14ac:dyDescent="0.55000000000000004">
      <c r="A119" s="1">
        <v>45775</v>
      </c>
      <c r="G119" s="3">
        <f t="shared" si="3"/>
        <v>0</v>
      </c>
      <c r="H119" s="3" t="e">
        <f t="shared" si="4"/>
        <v>#DIV/0!</v>
      </c>
      <c r="I119" s="3" t="e">
        <f t="shared" si="5"/>
        <v>#DIV/0!</v>
      </c>
    </row>
    <row r="120" spans="1:9" x14ac:dyDescent="0.55000000000000004">
      <c r="A120" s="1">
        <v>45776</v>
      </c>
      <c r="G120" s="3">
        <f t="shared" si="3"/>
        <v>0</v>
      </c>
      <c r="H120" s="3" t="e">
        <f t="shared" si="4"/>
        <v>#DIV/0!</v>
      </c>
      <c r="I120" s="3" t="e">
        <f t="shared" si="5"/>
        <v>#DIV/0!</v>
      </c>
    </row>
    <row r="121" spans="1:9" x14ac:dyDescent="0.55000000000000004">
      <c r="A121" s="1">
        <v>45777</v>
      </c>
      <c r="G121" s="3">
        <f t="shared" si="3"/>
        <v>0</v>
      </c>
      <c r="H121" s="3" t="e">
        <f t="shared" si="4"/>
        <v>#DIV/0!</v>
      </c>
      <c r="I121" s="3" t="e">
        <f t="shared" si="5"/>
        <v>#DIV/0!</v>
      </c>
    </row>
    <row r="122" spans="1:9" x14ac:dyDescent="0.55000000000000004">
      <c r="A122" s="1">
        <v>45778</v>
      </c>
      <c r="G122" s="3">
        <f t="shared" si="3"/>
        <v>0</v>
      </c>
      <c r="H122" s="3" t="e">
        <f t="shared" si="4"/>
        <v>#DIV/0!</v>
      </c>
      <c r="I122" s="3" t="e">
        <f t="shared" si="5"/>
        <v>#DIV/0!</v>
      </c>
    </row>
    <row r="123" spans="1:9" x14ac:dyDescent="0.55000000000000004">
      <c r="A123" s="1">
        <v>45779</v>
      </c>
      <c r="G123" s="3">
        <f t="shared" si="3"/>
        <v>0</v>
      </c>
      <c r="H123" s="3" t="e">
        <f t="shared" si="4"/>
        <v>#DIV/0!</v>
      </c>
      <c r="I123" s="3" t="e">
        <f t="shared" si="5"/>
        <v>#DIV/0!</v>
      </c>
    </row>
    <row r="124" spans="1:9" x14ac:dyDescent="0.55000000000000004">
      <c r="A124" s="1">
        <v>45780</v>
      </c>
      <c r="G124" s="3">
        <f t="shared" si="3"/>
        <v>0</v>
      </c>
      <c r="H124" s="3" t="e">
        <f t="shared" si="4"/>
        <v>#DIV/0!</v>
      </c>
      <c r="I124" s="3" t="e">
        <f t="shared" si="5"/>
        <v>#DIV/0!</v>
      </c>
    </row>
    <row r="125" spans="1:9" x14ac:dyDescent="0.55000000000000004">
      <c r="A125" s="1">
        <v>45781</v>
      </c>
      <c r="G125" s="3">
        <f t="shared" si="3"/>
        <v>0</v>
      </c>
      <c r="H125" s="3" t="e">
        <f t="shared" si="4"/>
        <v>#DIV/0!</v>
      </c>
      <c r="I125" s="3" t="e">
        <f t="shared" si="5"/>
        <v>#DIV/0!</v>
      </c>
    </row>
    <row r="126" spans="1:9" x14ac:dyDescent="0.55000000000000004">
      <c r="A126" s="1">
        <v>45782</v>
      </c>
      <c r="G126" s="3">
        <f t="shared" si="3"/>
        <v>0</v>
      </c>
      <c r="H126" s="3" t="e">
        <f t="shared" si="4"/>
        <v>#DIV/0!</v>
      </c>
      <c r="I126" s="3" t="e">
        <f t="shared" si="5"/>
        <v>#DIV/0!</v>
      </c>
    </row>
    <row r="127" spans="1:9" x14ac:dyDescent="0.55000000000000004">
      <c r="A127" s="1">
        <v>45783</v>
      </c>
      <c r="G127" s="3">
        <f t="shared" si="3"/>
        <v>0</v>
      </c>
      <c r="H127" s="3" t="e">
        <f t="shared" si="4"/>
        <v>#DIV/0!</v>
      </c>
      <c r="I127" s="3" t="e">
        <f t="shared" si="5"/>
        <v>#DIV/0!</v>
      </c>
    </row>
    <row r="128" spans="1:9" x14ac:dyDescent="0.55000000000000004">
      <c r="A128" s="1">
        <v>45784</v>
      </c>
      <c r="G128" s="3">
        <f t="shared" si="3"/>
        <v>0</v>
      </c>
      <c r="H128" s="3" t="e">
        <f t="shared" si="4"/>
        <v>#DIV/0!</v>
      </c>
      <c r="I128" s="3" t="e">
        <f t="shared" si="5"/>
        <v>#DIV/0!</v>
      </c>
    </row>
    <row r="129" spans="1:9" x14ac:dyDescent="0.55000000000000004">
      <c r="A129" s="1">
        <v>45785</v>
      </c>
      <c r="G129" s="3">
        <f t="shared" si="3"/>
        <v>0</v>
      </c>
      <c r="H129" s="3" t="e">
        <f t="shared" si="4"/>
        <v>#DIV/0!</v>
      </c>
      <c r="I129" s="3" t="e">
        <f t="shared" si="5"/>
        <v>#DIV/0!</v>
      </c>
    </row>
    <row r="130" spans="1:9" x14ac:dyDescent="0.55000000000000004">
      <c r="A130" s="1">
        <v>45786</v>
      </c>
      <c r="G130" s="3">
        <f t="shared" ref="G130:G193" si="6">C130+D130+E130+F130</f>
        <v>0</v>
      </c>
      <c r="H130" s="3" t="e">
        <f t="shared" ref="H130:H193" si="7">C130/B130</f>
        <v>#DIV/0!</v>
      </c>
      <c r="I130" s="3" t="e">
        <f t="shared" ref="I130:I193" si="8">G130/B130</f>
        <v>#DIV/0!</v>
      </c>
    </row>
    <row r="131" spans="1:9" x14ac:dyDescent="0.55000000000000004">
      <c r="A131" s="1">
        <v>45787</v>
      </c>
      <c r="G131" s="3">
        <f t="shared" si="6"/>
        <v>0</v>
      </c>
      <c r="H131" s="3" t="e">
        <f t="shared" si="7"/>
        <v>#DIV/0!</v>
      </c>
      <c r="I131" s="3" t="e">
        <f t="shared" si="8"/>
        <v>#DIV/0!</v>
      </c>
    </row>
    <row r="132" spans="1:9" x14ac:dyDescent="0.55000000000000004">
      <c r="A132" s="1">
        <v>45788</v>
      </c>
      <c r="G132" s="3">
        <f t="shared" si="6"/>
        <v>0</v>
      </c>
      <c r="H132" s="3" t="e">
        <f t="shared" si="7"/>
        <v>#DIV/0!</v>
      </c>
      <c r="I132" s="3" t="e">
        <f t="shared" si="8"/>
        <v>#DIV/0!</v>
      </c>
    </row>
    <row r="133" spans="1:9" x14ac:dyDescent="0.55000000000000004">
      <c r="A133" s="1">
        <v>45789</v>
      </c>
      <c r="G133" s="3">
        <f t="shared" si="6"/>
        <v>0</v>
      </c>
      <c r="H133" s="3" t="e">
        <f t="shared" si="7"/>
        <v>#DIV/0!</v>
      </c>
      <c r="I133" s="3" t="e">
        <f t="shared" si="8"/>
        <v>#DIV/0!</v>
      </c>
    </row>
    <row r="134" spans="1:9" x14ac:dyDescent="0.55000000000000004">
      <c r="A134" s="1">
        <v>45790</v>
      </c>
      <c r="G134" s="3">
        <f t="shared" si="6"/>
        <v>0</v>
      </c>
      <c r="H134" s="3" t="e">
        <f t="shared" si="7"/>
        <v>#DIV/0!</v>
      </c>
      <c r="I134" s="3" t="e">
        <f t="shared" si="8"/>
        <v>#DIV/0!</v>
      </c>
    </row>
    <row r="135" spans="1:9" x14ac:dyDescent="0.55000000000000004">
      <c r="A135" s="1">
        <v>45791</v>
      </c>
      <c r="G135" s="3">
        <f t="shared" si="6"/>
        <v>0</v>
      </c>
      <c r="H135" s="3" t="e">
        <f t="shared" si="7"/>
        <v>#DIV/0!</v>
      </c>
      <c r="I135" s="3" t="e">
        <f t="shared" si="8"/>
        <v>#DIV/0!</v>
      </c>
    </row>
    <row r="136" spans="1:9" x14ac:dyDescent="0.55000000000000004">
      <c r="A136" s="1">
        <v>45792</v>
      </c>
      <c r="G136" s="3">
        <f t="shared" si="6"/>
        <v>0</v>
      </c>
      <c r="H136" s="3" t="e">
        <f t="shared" si="7"/>
        <v>#DIV/0!</v>
      </c>
      <c r="I136" s="3" t="e">
        <f t="shared" si="8"/>
        <v>#DIV/0!</v>
      </c>
    </row>
    <row r="137" spans="1:9" x14ac:dyDescent="0.55000000000000004">
      <c r="A137" s="1">
        <v>45793</v>
      </c>
      <c r="G137" s="3">
        <f t="shared" si="6"/>
        <v>0</v>
      </c>
      <c r="H137" s="3" t="e">
        <f t="shared" si="7"/>
        <v>#DIV/0!</v>
      </c>
      <c r="I137" s="3" t="e">
        <f t="shared" si="8"/>
        <v>#DIV/0!</v>
      </c>
    </row>
    <row r="138" spans="1:9" x14ac:dyDescent="0.55000000000000004">
      <c r="A138" s="1">
        <v>45794</v>
      </c>
      <c r="G138" s="3">
        <f t="shared" si="6"/>
        <v>0</v>
      </c>
      <c r="H138" s="3" t="e">
        <f t="shared" si="7"/>
        <v>#DIV/0!</v>
      </c>
      <c r="I138" s="3" t="e">
        <f t="shared" si="8"/>
        <v>#DIV/0!</v>
      </c>
    </row>
    <row r="139" spans="1:9" x14ac:dyDescent="0.55000000000000004">
      <c r="A139" s="1">
        <v>45795</v>
      </c>
      <c r="G139" s="3">
        <f t="shared" si="6"/>
        <v>0</v>
      </c>
      <c r="H139" s="3" t="e">
        <f t="shared" si="7"/>
        <v>#DIV/0!</v>
      </c>
      <c r="I139" s="3" t="e">
        <f t="shared" si="8"/>
        <v>#DIV/0!</v>
      </c>
    </row>
    <row r="140" spans="1:9" x14ac:dyDescent="0.55000000000000004">
      <c r="A140" s="1">
        <v>45796</v>
      </c>
      <c r="G140" s="3">
        <f t="shared" si="6"/>
        <v>0</v>
      </c>
      <c r="H140" s="3" t="e">
        <f t="shared" si="7"/>
        <v>#DIV/0!</v>
      </c>
      <c r="I140" s="3" t="e">
        <f t="shared" si="8"/>
        <v>#DIV/0!</v>
      </c>
    </row>
    <row r="141" spans="1:9" x14ac:dyDescent="0.55000000000000004">
      <c r="A141" s="1">
        <v>45797</v>
      </c>
      <c r="G141" s="3">
        <f t="shared" si="6"/>
        <v>0</v>
      </c>
      <c r="H141" s="3" t="e">
        <f t="shared" si="7"/>
        <v>#DIV/0!</v>
      </c>
      <c r="I141" s="3" t="e">
        <f t="shared" si="8"/>
        <v>#DIV/0!</v>
      </c>
    </row>
    <row r="142" spans="1:9" x14ac:dyDescent="0.55000000000000004">
      <c r="A142" s="1">
        <v>45798</v>
      </c>
      <c r="G142" s="3">
        <f t="shared" si="6"/>
        <v>0</v>
      </c>
      <c r="H142" s="3" t="e">
        <f t="shared" si="7"/>
        <v>#DIV/0!</v>
      </c>
      <c r="I142" s="3" t="e">
        <f t="shared" si="8"/>
        <v>#DIV/0!</v>
      </c>
    </row>
    <row r="143" spans="1:9" x14ac:dyDescent="0.55000000000000004">
      <c r="A143" s="1">
        <v>45799</v>
      </c>
      <c r="G143" s="3">
        <f t="shared" si="6"/>
        <v>0</v>
      </c>
      <c r="H143" s="3" t="e">
        <f t="shared" si="7"/>
        <v>#DIV/0!</v>
      </c>
      <c r="I143" s="3" t="e">
        <f t="shared" si="8"/>
        <v>#DIV/0!</v>
      </c>
    </row>
    <row r="144" spans="1:9" x14ac:dyDescent="0.55000000000000004">
      <c r="A144" s="1">
        <v>45800</v>
      </c>
      <c r="G144" s="3">
        <f t="shared" si="6"/>
        <v>0</v>
      </c>
      <c r="H144" s="3" t="e">
        <f t="shared" si="7"/>
        <v>#DIV/0!</v>
      </c>
      <c r="I144" s="3" t="e">
        <f t="shared" si="8"/>
        <v>#DIV/0!</v>
      </c>
    </row>
    <row r="145" spans="1:9" x14ac:dyDescent="0.55000000000000004">
      <c r="A145" s="1">
        <v>45801</v>
      </c>
      <c r="G145" s="3">
        <f t="shared" si="6"/>
        <v>0</v>
      </c>
      <c r="H145" s="3" t="e">
        <f t="shared" si="7"/>
        <v>#DIV/0!</v>
      </c>
      <c r="I145" s="3" t="e">
        <f t="shared" si="8"/>
        <v>#DIV/0!</v>
      </c>
    </row>
    <row r="146" spans="1:9" x14ac:dyDescent="0.55000000000000004">
      <c r="A146" s="1">
        <v>45802</v>
      </c>
      <c r="G146" s="3">
        <f t="shared" si="6"/>
        <v>0</v>
      </c>
      <c r="H146" s="3" t="e">
        <f t="shared" si="7"/>
        <v>#DIV/0!</v>
      </c>
      <c r="I146" s="3" t="e">
        <f t="shared" si="8"/>
        <v>#DIV/0!</v>
      </c>
    </row>
    <row r="147" spans="1:9" x14ac:dyDescent="0.55000000000000004">
      <c r="A147" s="1">
        <v>45803</v>
      </c>
      <c r="G147" s="3">
        <f t="shared" si="6"/>
        <v>0</v>
      </c>
      <c r="H147" s="3" t="e">
        <f t="shared" si="7"/>
        <v>#DIV/0!</v>
      </c>
      <c r="I147" s="3" t="e">
        <f t="shared" si="8"/>
        <v>#DIV/0!</v>
      </c>
    </row>
    <row r="148" spans="1:9" x14ac:dyDescent="0.55000000000000004">
      <c r="A148" s="1">
        <v>45804</v>
      </c>
      <c r="G148" s="3">
        <f t="shared" si="6"/>
        <v>0</v>
      </c>
      <c r="H148" s="3" t="e">
        <f t="shared" si="7"/>
        <v>#DIV/0!</v>
      </c>
      <c r="I148" s="3" t="e">
        <f t="shared" si="8"/>
        <v>#DIV/0!</v>
      </c>
    </row>
    <row r="149" spans="1:9" x14ac:dyDescent="0.55000000000000004">
      <c r="A149" s="1">
        <v>45805</v>
      </c>
      <c r="G149" s="3">
        <f t="shared" si="6"/>
        <v>0</v>
      </c>
      <c r="H149" s="3" t="e">
        <f t="shared" si="7"/>
        <v>#DIV/0!</v>
      </c>
      <c r="I149" s="3" t="e">
        <f t="shared" si="8"/>
        <v>#DIV/0!</v>
      </c>
    </row>
    <row r="150" spans="1:9" x14ac:dyDescent="0.55000000000000004">
      <c r="A150" s="1">
        <v>45806</v>
      </c>
      <c r="G150" s="3">
        <f t="shared" si="6"/>
        <v>0</v>
      </c>
      <c r="H150" s="3" t="e">
        <f t="shared" si="7"/>
        <v>#DIV/0!</v>
      </c>
      <c r="I150" s="3" t="e">
        <f t="shared" si="8"/>
        <v>#DIV/0!</v>
      </c>
    </row>
    <row r="151" spans="1:9" x14ac:dyDescent="0.55000000000000004">
      <c r="A151" s="1">
        <v>45807</v>
      </c>
      <c r="G151" s="3">
        <f t="shared" si="6"/>
        <v>0</v>
      </c>
      <c r="H151" s="3" t="e">
        <f t="shared" si="7"/>
        <v>#DIV/0!</v>
      </c>
      <c r="I151" s="3" t="e">
        <f t="shared" si="8"/>
        <v>#DIV/0!</v>
      </c>
    </row>
    <row r="152" spans="1:9" x14ac:dyDescent="0.55000000000000004">
      <c r="A152" s="1">
        <v>45808</v>
      </c>
      <c r="G152" s="3">
        <f t="shared" si="6"/>
        <v>0</v>
      </c>
      <c r="H152" s="3" t="e">
        <f t="shared" si="7"/>
        <v>#DIV/0!</v>
      </c>
      <c r="I152" s="3" t="e">
        <f t="shared" si="8"/>
        <v>#DIV/0!</v>
      </c>
    </row>
    <row r="153" spans="1:9" x14ac:dyDescent="0.55000000000000004">
      <c r="A153" s="1">
        <v>45809</v>
      </c>
      <c r="G153" s="3">
        <f t="shared" si="6"/>
        <v>0</v>
      </c>
      <c r="H153" s="3" t="e">
        <f t="shared" si="7"/>
        <v>#DIV/0!</v>
      </c>
      <c r="I153" s="3" t="e">
        <f t="shared" si="8"/>
        <v>#DIV/0!</v>
      </c>
    </row>
    <row r="154" spans="1:9" x14ac:dyDescent="0.55000000000000004">
      <c r="A154" s="1">
        <v>45810</v>
      </c>
      <c r="G154" s="3">
        <f t="shared" si="6"/>
        <v>0</v>
      </c>
      <c r="H154" s="3" t="e">
        <f t="shared" si="7"/>
        <v>#DIV/0!</v>
      </c>
      <c r="I154" s="3" t="e">
        <f t="shared" si="8"/>
        <v>#DIV/0!</v>
      </c>
    </row>
    <row r="155" spans="1:9" x14ac:dyDescent="0.55000000000000004">
      <c r="A155" s="1">
        <v>45811</v>
      </c>
      <c r="G155" s="3">
        <f t="shared" si="6"/>
        <v>0</v>
      </c>
      <c r="H155" s="3" t="e">
        <f t="shared" si="7"/>
        <v>#DIV/0!</v>
      </c>
      <c r="I155" s="3" t="e">
        <f t="shared" si="8"/>
        <v>#DIV/0!</v>
      </c>
    </row>
    <row r="156" spans="1:9" x14ac:dyDescent="0.55000000000000004">
      <c r="A156" s="1">
        <v>45812</v>
      </c>
      <c r="B156" s="2">
        <v>13</v>
      </c>
      <c r="C156" s="2">
        <v>7117</v>
      </c>
      <c r="D156" s="2">
        <v>375</v>
      </c>
      <c r="G156" s="3">
        <f t="shared" si="6"/>
        <v>7492</v>
      </c>
      <c r="H156" s="3">
        <f t="shared" si="7"/>
        <v>547.46153846153845</v>
      </c>
      <c r="I156" s="3">
        <f t="shared" si="8"/>
        <v>576.30769230769226</v>
      </c>
    </row>
    <row r="157" spans="1:9" x14ac:dyDescent="0.55000000000000004">
      <c r="A157" s="1">
        <v>45813</v>
      </c>
      <c r="B157" s="2">
        <v>20</v>
      </c>
      <c r="C157" s="2">
        <v>10051</v>
      </c>
      <c r="D157" s="2">
        <v>1750</v>
      </c>
      <c r="F157" s="2">
        <v>906</v>
      </c>
      <c r="G157" s="3">
        <f t="shared" si="6"/>
        <v>12707</v>
      </c>
      <c r="H157" s="3">
        <f t="shared" si="7"/>
        <v>502.55</v>
      </c>
      <c r="I157" s="3">
        <f t="shared" si="8"/>
        <v>635.35</v>
      </c>
    </row>
    <row r="158" spans="1:9" x14ac:dyDescent="0.55000000000000004">
      <c r="A158" s="1">
        <v>45814</v>
      </c>
      <c r="B158" s="2">
        <v>18</v>
      </c>
      <c r="C158" s="2">
        <v>9042</v>
      </c>
      <c r="D158" s="2">
        <v>1200</v>
      </c>
      <c r="G158" s="3">
        <f t="shared" si="6"/>
        <v>10242</v>
      </c>
      <c r="H158" s="3">
        <f t="shared" si="7"/>
        <v>502.33333333333331</v>
      </c>
      <c r="I158" s="3">
        <f t="shared" si="8"/>
        <v>569</v>
      </c>
    </row>
    <row r="159" spans="1:9" x14ac:dyDescent="0.55000000000000004">
      <c r="A159" s="1">
        <v>45815</v>
      </c>
      <c r="B159" s="2">
        <v>6</v>
      </c>
      <c r="C159" s="2">
        <v>2678</v>
      </c>
      <c r="F159" s="2">
        <v>362</v>
      </c>
      <c r="G159" s="3">
        <f t="shared" si="6"/>
        <v>3040</v>
      </c>
      <c r="H159" s="3">
        <f t="shared" si="7"/>
        <v>446.33333333333331</v>
      </c>
      <c r="I159" s="3">
        <f t="shared" si="8"/>
        <v>506.66666666666669</v>
      </c>
    </row>
    <row r="160" spans="1:9" x14ac:dyDescent="0.55000000000000004">
      <c r="A160" s="1">
        <v>45816</v>
      </c>
      <c r="G160" s="3">
        <f t="shared" si="6"/>
        <v>0</v>
      </c>
      <c r="H160" s="3" t="e">
        <f t="shared" si="7"/>
        <v>#DIV/0!</v>
      </c>
      <c r="I160" s="3" t="e">
        <f t="shared" si="8"/>
        <v>#DIV/0!</v>
      </c>
    </row>
    <row r="161" spans="1:9" x14ac:dyDescent="0.55000000000000004">
      <c r="A161" s="1">
        <v>45817</v>
      </c>
      <c r="G161" s="3">
        <f t="shared" si="6"/>
        <v>0</v>
      </c>
      <c r="H161" s="3" t="e">
        <f t="shared" si="7"/>
        <v>#DIV/0!</v>
      </c>
      <c r="I161" s="3" t="e">
        <f t="shared" si="8"/>
        <v>#DIV/0!</v>
      </c>
    </row>
    <row r="162" spans="1:9" x14ac:dyDescent="0.55000000000000004">
      <c r="A162" s="1">
        <v>45818</v>
      </c>
      <c r="G162" s="3">
        <f t="shared" si="6"/>
        <v>0</v>
      </c>
      <c r="H162" s="3" t="e">
        <f t="shared" si="7"/>
        <v>#DIV/0!</v>
      </c>
      <c r="I162" s="3" t="e">
        <f t="shared" si="8"/>
        <v>#DIV/0!</v>
      </c>
    </row>
    <row r="163" spans="1:9" x14ac:dyDescent="0.55000000000000004">
      <c r="A163" s="1">
        <v>45819</v>
      </c>
      <c r="G163" s="3">
        <f t="shared" si="6"/>
        <v>0</v>
      </c>
      <c r="H163" s="3" t="e">
        <f t="shared" si="7"/>
        <v>#DIV/0!</v>
      </c>
      <c r="I163" s="3" t="e">
        <f t="shared" si="8"/>
        <v>#DIV/0!</v>
      </c>
    </row>
    <row r="164" spans="1:9" x14ac:dyDescent="0.55000000000000004">
      <c r="A164" s="1">
        <v>45820</v>
      </c>
      <c r="G164" s="3">
        <f t="shared" si="6"/>
        <v>0</v>
      </c>
      <c r="H164" s="3" t="e">
        <f t="shared" si="7"/>
        <v>#DIV/0!</v>
      </c>
      <c r="I164" s="3" t="e">
        <f t="shared" si="8"/>
        <v>#DIV/0!</v>
      </c>
    </row>
    <row r="165" spans="1:9" x14ac:dyDescent="0.55000000000000004">
      <c r="A165" s="1">
        <v>45821</v>
      </c>
      <c r="B165" s="2">
        <v>3</v>
      </c>
      <c r="C165" s="2">
        <v>1558</v>
      </c>
      <c r="G165" s="3">
        <f t="shared" si="6"/>
        <v>1558</v>
      </c>
      <c r="H165" s="3">
        <f t="shared" si="7"/>
        <v>519.33333333333337</v>
      </c>
      <c r="I165" s="3">
        <f t="shared" si="8"/>
        <v>519.33333333333337</v>
      </c>
    </row>
    <row r="166" spans="1:9" x14ac:dyDescent="0.55000000000000004">
      <c r="A166" s="1">
        <v>45822</v>
      </c>
      <c r="B166" s="2">
        <v>5</v>
      </c>
      <c r="C166" s="2">
        <v>3129</v>
      </c>
      <c r="D166" s="2">
        <v>1175</v>
      </c>
      <c r="G166" s="3">
        <f t="shared" si="6"/>
        <v>4304</v>
      </c>
      <c r="H166" s="3">
        <f t="shared" si="7"/>
        <v>625.79999999999995</v>
      </c>
      <c r="I166" s="3">
        <f t="shared" si="8"/>
        <v>860.8</v>
      </c>
    </row>
    <row r="167" spans="1:9" x14ac:dyDescent="0.55000000000000004">
      <c r="A167" s="1">
        <v>45823</v>
      </c>
      <c r="G167" s="3">
        <f t="shared" si="6"/>
        <v>0</v>
      </c>
      <c r="H167" s="3" t="e">
        <f t="shared" si="7"/>
        <v>#DIV/0!</v>
      </c>
      <c r="I167" s="3" t="e">
        <f t="shared" si="8"/>
        <v>#DIV/0!</v>
      </c>
    </row>
    <row r="168" spans="1:9" x14ac:dyDescent="0.55000000000000004">
      <c r="A168" s="1">
        <v>45824</v>
      </c>
      <c r="B168" s="2">
        <v>6</v>
      </c>
      <c r="C168" s="2">
        <v>2866</v>
      </c>
      <c r="D168" s="2">
        <v>375</v>
      </c>
      <c r="G168" s="3">
        <f t="shared" si="6"/>
        <v>3241</v>
      </c>
      <c r="H168" s="3">
        <f t="shared" si="7"/>
        <v>477.66666666666669</v>
      </c>
      <c r="I168" s="3">
        <f t="shared" si="8"/>
        <v>540.16666666666663</v>
      </c>
    </row>
    <row r="169" spans="1:9" x14ac:dyDescent="0.55000000000000004">
      <c r="A169" s="1">
        <v>45825</v>
      </c>
      <c r="G169" s="3">
        <f t="shared" si="6"/>
        <v>0</v>
      </c>
      <c r="H169" s="3" t="e">
        <f t="shared" si="7"/>
        <v>#DIV/0!</v>
      </c>
      <c r="I169" s="3" t="e">
        <f t="shared" si="8"/>
        <v>#DIV/0!</v>
      </c>
    </row>
    <row r="170" spans="1:9" x14ac:dyDescent="0.55000000000000004">
      <c r="A170" s="1">
        <v>45826</v>
      </c>
      <c r="G170" s="3">
        <f t="shared" si="6"/>
        <v>0</v>
      </c>
      <c r="H170" s="3" t="e">
        <f t="shared" si="7"/>
        <v>#DIV/0!</v>
      </c>
      <c r="I170" s="3" t="e">
        <f t="shared" si="8"/>
        <v>#DIV/0!</v>
      </c>
    </row>
    <row r="171" spans="1:9" x14ac:dyDescent="0.55000000000000004">
      <c r="A171" s="1">
        <v>45827</v>
      </c>
      <c r="G171" s="3">
        <f t="shared" si="6"/>
        <v>0</v>
      </c>
      <c r="H171" s="3" t="e">
        <f t="shared" si="7"/>
        <v>#DIV/0!</v>
      </c>
      <c r="I171" s="3" t="e">
        <f t="shared" si="8"/>
        <v>#DIV/0!</v>
      </c>
    </row>
    <row r="172" spans="1:9" x14ac:dyDescent="0.55000000000000004">
      <c r="A172" s="1">
        <v>45828</v>
      </c>
      <c r="B172" s="2">
        <v>2</v>
      </c>
      <c r="C172" s="2">
        <v>647</v>
      </c>
      <c r="G172" s="3">
        <f t="shared" si="6"/>
        <v>647</v>
      </c>
      <c r="H172" s="3">
        <f t="shared" si="7"/>
        <v>323.5</v>
      </c>
      <c r="I172" s="3">
        <f t="shared" si="8"/>
        <v>323.5</v>
      </c>
    </row>
    <row r="173" spans="1:9" x14ac:dyDescent="0.55000000000000004">
      <c r="A173" s="1">
        <v>45829</v>
      </c>
      <c r="B173" s="2">
        <v>2</v>
      </c>
      <c r="C173" s="2">
        <v>640</v>
      </c>
      <c r="G173" s="3">
        <f t="shared" si="6"/>
        <v>640</v>
      </c>
      <c r="H173" s="3">
        <f t="shared" si="7"/>
        <v>320</v>
      </c>
      <c r="I173" s="3">
        <f t="shared" si="8"/>
        <v>320</v>
      </c>
    </row>
    <row r="174" spans="1:9" x14ac:dyDescent="0.55000000000000004">
      <c r="A174" s="1">
        <v>45830</v>
      </c>
      <c r="B174" s="2">
        <v>14</v>
      </c>
      <c r="C174" s="2">
        <v>7225</v>
      </c>
      <c r="D174" s="2">
        <v>1200</v>
      </c>
      <c r="G174" s="3">
        <f t="shared" si="6"/>
        <v>8425</v>
      </c>
      <c r="H174" s="3">
        <f t="shared" si="7"/>
        <v>516.07142857142856</v>
      </c>
      <c r="I174" s="3">
        <f t="shared" si="8"/>
        <v>601.78571428571433</v>
      </c>
    </row>
    <row r="175" spans="1:9" x14ac:dyDescent="0.55000000000000004">
      <c r="A175" s="1">
        <v>45831</v>
      </c>
      <c r="G175" s="3">
        <f t="shared" si="6"/>
        <v>0</v>
      </c>
      <c r="H175" s="3" t="e">
        <f t="shared" si="7"/>
        <v>#DIV/0!</v>
      </c>
      <c r="I175" s="3" t="e">
        <f t="shared" si="8"/>
        <v>#DIV/0!</v>
      </c>
    </row>
    <row r="176" spans="1:9" x14ac:dyDescent="0.55000000000000004">
      <c r="A176" s="1">
        <v>45832</v>
      </c>
      <c r="G176" s="3">
        <f t="shared" si="6"/>
        <v>0</v>
      </c>
      <c r="H176" s="3" t="e">
        <f t="shared" si="7"/>
        <v>#DIV/0!</v>
      </c>
      <c r="I176" s="3" t="e">
        <f t="shared" si="8"/>
        <v>#DIV/0!</v>
      </c>
    </row>
    <row r="177" spans="1:9" x14ac:dyDescent="0.55000000000000004">
      <c r="A177" s="1">
        <v>45833</v>
      </c>
      <c r="G177" s="3">
        <f t="shared" si="6"/>
        <v>0</v>
      </c>
      <c r="H177" s="3" t="e">
        <f t="shared" si="7"/>
        <v>#DIV/0!</v>
      </c>
      <c r="I177" s="3" t="e">
        <f t="shared" si="8"/>
        <v>#DIV/0!</v>
      </c>
    </row>
    <row r="178" spans="1:9" x14ac:dyDescent="0.55000000000000004">
      <c r="A178" s="1">
        <v>45834</v>
      </c>
      <c r="G178" s="3">
        <f t="shared" si="6"/>
        <v>0</v>
      </c>
      <c r="H178" s="3" t="e">
        <f t="shared" si="7"/>
        <v>#DIV/0!</v>
      </c>
      <c r="I178" s="3" t="e">
        <f t="shared" si="8"/>
        <v>#DIV/0!</v>
      </c>
    </row>
    <row r="179" spans="1:9" x14ac:dyDescent="0.55000000000000004">
      <c r="A179" s="1">
        <v>45835</v>
      </c>
      <c r="B179" s="2">
        <v>26</v>
      </c>
      <c r="C179" s="2">
        <v>10563</v>
      </c>
      <c r="D179" s="2">
        <v>2125</v>
      </c>
      <c r="F179" s="2">
        <v>220</v>
      </c>
      <c r="G179" s="3">
        <f t="shared" si="6"/>
        <v>12908</v>
      </c>
      <c r="H179" s="3">
        <f t="shared" si="7"/>
        <v>406.26923076923077</v>
      </c>
      <c r="I179" s="3">
        <f t="shared" si="8"/>
        <v>496.46153846153845</v>
      </c>
    </row>
    <row r="180" spans="1:9" x14ac:dyDescent="0.55000000000000004">
      <c r="A180" s="1">
        <v>45836</v>
      </c>
      <c r="B180" s="2">
        <v>14</v>
      </c>
      <c r="C180" s="2">
        <v>8318</v>
      </c>
      <c r="G180" s="3">
        <f t="shared" si="6"/>
        <v>8318</v>
      </c>
      <c r="H180" s="3">
        <f t="shared" si="7"/>
        <v>594.14285714285711</v>
      </c>
      <c r="I180" s="3">
        <f t="shared" si="8"/>
        <v>594.14285714285711</v>
      </c>
    </row>
    <row r="181" spans="1:9" x14ac:dyDescent="0.55000000000000004">
      <c r="A181" s="1">
        <v>45837</v>
      </c>
      <c r="G181" s="3">
        <f t="shared" si="6"/>
        <v>0</v>
      </c>
      <c r="H181" s="3" t="e">
        <f t="shared" si="7"/>
        <v>#DIV/0!</v>
      </c>
      <c r="I181" s="3" t="e">
        <f t="shared" si="8"/>
        <v>#DIV/0!</v>
      </c>
    </row>
    <row r="182" spans="1:9" x14ac:dyDescent="0.55000000000000004">
      <c r="A182" s="1">
        <v>45838</v>
      </c>
      <c r="G182" s="3">
        <f t="shared" si="6"/>
        <v>0</v>
      </c>
      <c r="H182" s="3" t="e">
        <f t="shared" si="7"/>
        <v>#DIV/0!</v>
      </c>
      <c r="I182" s="3" t="e">
        <f t="shared" si="8"/>
        <v>#DIV/0!</v>
      </c>
    </row>
    <row r="183" spans="1:9" x14ac:dyDescent="0.55000000000000004">
      <c r="A183" s="1">
        <v>45839</v>
      </c>
      <c r="B183" s="2">
        <v>1</v>
      </c>
      <c r="C183" s="2">
        <v>328</v>
      </c>
      <c r="G183" s="3">
        <f t="shared" si="6"/>
        <v>328</v>
      </c>
      <c r="H183" s="3">
        <f t="shared" si="7"/>
        <v>328</v>
      </c>
      <c r="I183" s="3">
        <f t="shared" si="8"/>
        <v>328</v>
      </c>
    </row>
    <row r="184" spans="1:9" x14ac:dyDescent="0.55000000000000004">
      <c r="A184" s="1">
        <v>45840</v>
      </c>
      <c r="B184" s="2">
        <v>26</v>
      </c>
      <c r="C184" s="2">
        <v>9375</v>
      </c>
      <c r="D184" s="2">
        <v>2250</v>
      </c>
      <c r="F184" s="2">
        <v>329</v>
      </c>
      <c r="G184" s="3">
        <f t="shared" si="6"/>
        <v>11954</v>
      </c>
      <c r="H184" s="3">
        <f t="shared" si="7"/>
        <v>360.57692307692309</v>
      </c>
      <c r="I184" s="3">
        <f t="shared" si="8"/>
        <v>459.76923076923077</v>
      </c>
    </row>
    <row r="185" spans="1:9" x14ac:dyDescent="0.55000000000000004">
      <c r="A185" s="1">
        <v>45841</v>
      </c>
      <c r="B185" s="2">
        <v>9</v>
      </c>
      <c r="C185" s="2">
        <v>3371</v>
      </c>
      <c r="D185" s="2">
        <v>1600</v>
      </c>
      <c r="G185" s="3">
        <f t="shared" si="6"/>
        <v>4971</v>
      </c>
      <c r="H185" s="3">
        <f t="shared" si="7"/>
        <v>374.55555555555554</v>
      </c>
      <c r="I185" s="3">
        <f t="shared" si="8"/>
        <v>552.33333333333337</v>
      </c>
    </row>
    <row r="186" spans="1:9" x14ac:dyDescent="0.55000000000000004">
      <c r="A186" s="1">
        <v>45842</v>
      </c>
      <c r="B186" s="2">
        <v>20</v>
      </c>
      <c r="C186" s="2">
        <v>7408</v>
      </c>
      <c r="D186" s="2">
        <v>2050</v>
      </c>
      <c r="F186" s="2">
        <v>195</v>
      </c>
      <c r="G186" s="3">
        <f t="shared" si="6"/>
        <v>9653</v>
      </c>
      <c r="H186" s="3">
        <f t="shared" si="7"/>
        <v>370.4</v>
      </c>
      <c r="I186" s="3">
        <f t="shared" si="8"/>
        <v>482.65</v>
      </c>
    </row>
    <row r="187" spans="1:9" x14ac:dyDescent="0.55000000000000004">
      <c r="A187" s="1">
        <v>45843</v>
      </c>
      <c r="B187" s="2">
        <v>12</v>
      </c>
      <c r="C187" s="2">
        <v>5427</v>
      </c>
      <c r="D187" s="2">
        <v>1175</v>
      </c>
      <c r="G187" s="3">
        <f t="shared" si="6"/>
        <v>6602</v>
      </c>
      <c r="H187" s="3">
        <f t="shared" si="7"/>
        <v>452.25</v>
      </c>
      <c r="I187" s="3">
        <f t="shared" si="8"/>
        <v>550.16666666666663</v>
      </c>
    </row>
    <row r="188" spans="1:9" x14ac:dyDescent="0.55000000000000004">
      <c r="A188" s="1">
        <v>45844</v>
      </c>
      <c r="G188" s="3">
        <f t="shared" si="6"/>
        <v>0</v>
      </c>
      <c r="H188" s="3" t="e">
        <f t="shared" si="7"/>
        <v>#DIV/0!</v>
      </c>
      <c r="I188" s="3" t="e">
        <f t="shared" si="8"/>
        <v>#DIV/0!</v>
      </c>
    </row>
    <row r="189" spans="1:9" x14ac:dyDescent="0.55000000000000004">
      <c r="A189" s="1">
        <v>45845</v>
      </c>
      <c r="G189" s="3">
        <f t="shared" si="6"/>
        <v>0</v>
      </c>
      <c r="H189" s="3" t="e">
        <f t="shared" si="7"/>
        <v>#DIV/0!</v>
      </c>
      <c r="I189" s="3" t="e">
        <f t="shared" si="8"/>
        <v>#DIV/0!</v>
      </c>
    </row>
    <row r="190" spans="1:9" x14ac:dyDescent="0.55000000000000004">
      <c r="A190" s="1">
        <v>45846</v>
      </c>
      <c r="B190" s="2">
        <v>12</v>
      </c>
      <c r="C190" s="2">
        <v>4999</v>
      </c>
      <c r="D190" s="2">
        <v>350</v>
      </c>
      <c r="G190" s="3">
        <f t="shared" si="6"/>
        <v>5349</v>
      </c>
      <c r="H190" s="3">
        <f t="shared" si="7"/>
        <v>416.58333333333331</v>
      </c>
      <c r="I190" s="3">
        <f t="shared" si="8"/>
        <v>445.75</v>
      </c>
    </row>
    <row r="191" spans="1:9" x14ac:dyDescent="0.55000000000000004">
      <c r="A191" s="1">
        <v>45847</v>
      </c>
      <c r="G191" s="3">
        <f t="shared" si="6"/>
        <v>0</v>
      </c>
      <c r="H191" s="3" t="e">
        <f t="shared" si="7"/>
        <v>#DIV/0!</v>
      </c>
      <c r="I191" s="3" t="e">
        <f t="shared" si="8"/>
        <v>#DIV/0!</v>
      </c>
    </row>
    <row r="192" spans="1:9" x14ac:dyDescent="0.55000000000000004">
      <c r="A192" s="1">
        <v>45848</v>
      </c>
      <c r="G192" s="3">
        <f t="shared" si="6"/>
        <v>0</v>
      </c>
      <c r="H192" s="3" t="e">
        <f t="shared" si="7"/>
        <v>#DIV/0!</v>
      </c>
      <c r="I192" s="3" t="e">
        <f t="shared" si="8"/>
        <v>#DIV/0!</v>
      </c>
    </row>
    <row r="193" spans="1:9" x14ac:dyDescent="0.55000000000000004">
      <c r="A193" s="1">
        <v>45849</v>
      </c>
      <c r="G193" s="3">
        <f t="shared" si="6"/>
        <v>0</v>
      </c>
      <c r="H193" s="3" t="e">
        <f t="shared" si="7"/>
        <v>#DIV/0!</v>
      </c>
      <c r="I193" s="3" t="e">
        <f t="shared" si="8"/>
        <v>#DIV/0!</v>
      </c>
    </row>
    <row r="194" spans="1:9" x14ac:dyDescent="0.55000000000000004">
      <c r="A194" s="1">
        <v>45850</v>
      </c>
      <c r="G194" s="3">
        <f t="shared" ref="G194:G257" si="9">C194+D194+E194+F194</f>
        <v>0</v>
      </c>
      <c r="H194" s="3" t="e">
        <f t="shared" ref="H194:H257" si="10">C194/B194</f>
        <v>#DIV/0!</v>
      </c>
      <c r="I194" s="3" t="e">
        <f t="shared" ref="I194:I257" si="11">G194/B194</f>
        <v>#DIV/0!</v>
      </c>
    </row>
    <row r="195" spans="1:9" x14ac:dyDescent="0.55000000000000004">
      <c r="A195" s="1">
        <v>45851</v>
      </c>
      <c r="G195" s="3">
        <f t="shared" si="9"/>
        <v>0</v>
      </c>
      <c r="H195" s="3" t="e">
        <f t="shared" si="10"/>
        <v>#DIV/0!</v>
      </c>
      <c r="I195" s="3" t="e">
        <f t="shared" si="11"/>
        <v>#DIV/0!</v>
      </c>
    </row>
    <row r="196" spans="1:9" x14ac:dyDescent="0.55000000000000004">
      <c r="A196" s="1">
        <v>45852</v>
      </c>
      <c r="G196" s="3">
        <f t="shared" si="9"/>
        <v>0</v>
      </c>
      <c r="H196" s="3" t="e">
        <f t="shared" si="10"/>
        <v>#DIV/0!</v>
      </c>
      <c r="I196" s="3" t="e">
        <f t="shared" si="11"/>
        <v>#DIV/0!</v>
      </c>
    </row>
    <row r="197" spans="1:9" x14ac:dyDescent="0.55000000000000004">
      <c r="A197" s="1">
        <v>45853</v>
      </c>
      <c r="G197" s="3">
        <f t="shared" si="9"/>
        <v>0</v>
      </c>
      <c r="H197" s="3" t="e">
        <f t="shared" si="10"/>
        <v>#DIV/0!</v>
      </c>
      <c r="I197" s="3" t="e">
        <f t="shared" si="11"/>
        <v>#DIV/0!</v>
      </c>
    </row>
    <row r="198" spans="1:9" x14ac:dyDescent="0.55000000000000004">
      <c r="A198" s="1">
        <v>45854</v>
      </c>
      <c r="B198" s="2">
        <v>23</v>
      </c>
      <c r="C198" s="2">
        <v>11250</v>
      </c>
      <c r="D198" s="2">
        <v>5300</v>
      </c>
      <c r="F198" s="2">
        <v>244</v>
      </c>
      <c r="G198" s="3">
        <f t="shared" si="9"/>
        <v>16794</v>
      </c>
      <c r="H198" s="3">
        <f t="shared" si="10"/>
        <v>489.13043478260869</v>
      </c>
      <c r="I198" s="3">
        <f t="shared" si="11"/>
        <v>730.17391304347825</v>
      </c>
    </row>
    <row r="199" spans="1:9" x14ac:dyDescent="0.55000000000000004">
      <c r="A199" s="1">
        <v>45855</v>
      </c>
      <c r="B199" s="2">
        <v>17</v>
      </c>
      <c r="C199" s="2">
        <v>7571</v>
      </c>
      <c r="D199" s="2">
        <v>1150</v>
      </c>
      <c r="F199" s="2">
        <v>1509</v>
      </c>
      <c r="G199" s="3">
        <f t="shared" si="9"/>
        <v>10230</v>
      </c>
      <c r="H199" s="3">
        <f t="shared" si="10"/>
        <v>445.35294117647061</v>
      </c>
      <c r="I199" s="3">
        <f t="shared" si="11"/>
        <v>601.76470588235293</v>
      </c>
    </row>
    <row r="200" spans="1:9" x14ac:dyDescent="0.55000000000000004">
      <c r="A200" s="1">
        <v>45856</v>
      </c>
      <c r="G200" s="3">
        <f t="shared" si="9"/>
        <v>0</v>
      </c>
      <c r="H200" s="3" t="e">
        <f t="shared" si="10"/>
        <v>#DIV/0!</v>
      </c>
      <c r="I200" s="3" t="e">
        <f t="shared" si="11"/>
        <v>#DIV/0!</v>
      </c>
    </row>
    <row r="201" spans="1:9" x14ac:dyDescent="0.55000000000000004">
      <c r="A201" s="1">
        <v>45857</v>
      </c>
      <c r="B201" s="2">
        <v>27</v>
      </c>
      <c r="C201" s="2">
        <v>13003</v>
      </c>
      <c r="F201" s="2">
        <v>314</v>
      </c>
      <c r="G201" s="3">
        <f t="shared" si="9"/>
        <v>13317</v>
      </c>
      <c r="H201" s="3">
        <f t="shared" si="10"/>
        <v>481.59259259259261</v>
      </c>
      <c r="I201" s="3">
        <f t="shared" si="11"/>
        <v>493.22222222222223</v>
      </c>
    </row>
    <row r="202" spans="1:9" x14ac:dyDescent="0.55000000000000004">
      <c r="A202" s="1">
        <v>45858</v>
      </c>
      <c r="B202" s="2">
        <v>24</v>
      </c>
      <c r="C202" s="2">
        <v>10946</v>
      </c>
      <c r="D202" s="2">
        <v>7750</v>
      </c>
      <c r="G202" s="3">
        <f t="shared" si="9"/>
        <v>18696</v>
      </c>
      <c r="H202" s="3">
        <f t="shared" si="10"/>
        <v>456.08333333333331</v>
      </c>
      <c r="I202" s="3">
        <f t="shared" si="11"/>
        <v>779</v>
      </c>
    </row>
    <row r="203" spans="1:9" x14ac:dyDescent="0.55000000000000004">
      <c r="A203" s="1">
        <v>45859</v>
      </c>
      <c r="G203" s="3">
        <f t="shared" si="9"/>
        <v>0</v>
      </c>
      <c r="H203" s="3" t="e">
        <f t="shared" si="10"/>
        <v>#DIV/0!</v>
      </c>
      <c r="I203" s="3" t="e">
        <f t="shared" si="11"/>
        <v>#DIV/0!</v>
      </c>
    </row>
    <row r="204" spans="1:9" x14ac:dyDescent="0.55000000000000004">
      <c r="A204" s="1">
        <v>45860</v>
      </c>
      <c r="B204" s="2">
        <v>17</v>
      </c>
      <c r="C204" s="2">
        <v>7391</v>
      </c>
      <c r="D204" s="2">
        <v>700</v>
      </c>
      <c r="G204" s="3">
        <f t="shared" si="9"/>
        <v>8091</v>
      </c>
      <c r="H204" s="3">
        <f t="shared" si="10"/>
        <v>434.76470588235293</v>
      </c>
      <c r="I204" s="3">
        <f t="shared" si="11"/>
        <v>475.94117647058823</v>
      </c>
    </row>
    <row r="205" spans="1:9" x14ac:dyDescent="0.55000000000000004">
      <c r="A205" s="1">
        <v>45861</v>
      </c>
      <c r="G205" s="3">
        <f t="shared" si="9"/>
        <v>0</v>
      </c>
      <c r="H205" s="3" t="e">
        <f t="shared" si="10"/>
        <v>#DIV/0!</v>
      </c>
      <c r="I205" s="3" t="e">
        <f t="shared" si="11"/>
        <v>#DIV/0!</v>
      </c>
    </row>
    <row r="206" spans="1:9" x14ac:dyDescent="0.55000000000000004">
      <c r="A206" s="1">
        <v>45862</v>
      </c>
      <c r="B206" s="2">
        <v>29</v>
      </c>
      <c r="C206" s="2">
        <v>11650</v>
      </c>
      <c r="D206" s="2">
        <v>2900</v>
      </c>
      <c r="G206" s="3">
        <f t="shared" si="9"/>
        <v>14550</v>
      </c>
      <c r="H206" s="3">
        <f t="shared" si="10"/>
        <v>401.72413793103448</v>
      </c>
      <c r="I206" s="3">
        <f t="shared" si="11"/>
        <v>501.72413793103448</v>
      </c>
    </row>
    <row r="207" spans="1:9" x14ac:dyDescent="0.55000000000000004">
      <c r="A207" s="1">
        <v>45863</v>
      </c>
      <c r="B207" s="2">
        <v>34</v>
      </c>
      <c r="C207" s="2">
        <v>14935</v>
      </c>
      <c r="D207" s="2">
        <v>2250</v>
      </c>
      <c r="G207" s="3">
        <f t="shared" si="9"/>
        <v>17185</v>
      </c>
      <c r="H207" s="3">
        <f t="shared" si="10"/>
        <v>439.26470588235293</v>
      </c>
      <c r="I207" s="3">
        <f t="shared" si="11"/>
        <v>505.44117647058823</v>
      </c>
    </row>
    <row r="208" spans="1:9" x14ac:dyDescent="0.55000000000000004">
      <c r="A208" s="1">
        <v>45864</v>
      </c>
      <c r="B208" s="2">
        <v>20</v>
      </c>
      <c r="C208" s="2">
        <v>9621</v>
      </c>
      <c r="D208" s="2">
        <v>5500</v>
      </c>
      <c r="G208" s="3">
        <f t="shared" si="9"/>
        <v>15121</v>
      </c>
      <c r="H208" s="3">
        <f t="shared" si="10"/>
        <v>481.05</v>
      </c>
      <c r="I208" s="3">
        <f t="shared" si="11"/>
        <v>756.05</v>
      </c>
    </row>
    <row r="209" spans="1:9" x14ac:dyDescent="0.55000000000000004">
      <c r="A209" s="1">
        <v>45865</v>
      </c>
      <c r="G209" s="3">
        <f t="shared" si="9"/>
        <v>0</v>
      </c>
      <c r="H209" s="3" t="e">
        <f t="shared" si="10"/>
        <v>#DIV/0!</v>
      </c>
      <c r="I209" s="3" t="e">
        <f t="shared" si="11"/>
        <v>#DIV/0!</v>
      </c>
    </row>
    <row r="210" spans="1:9" x14ac:dyDescent="0.55000000000000004">
      <c r="A210" s="1">
        <v>45866</v>
      </c>
      <c r="G210" s="3">
        <f t="shared" si="9"/>
        <v>0</v>
      </c>
      <c r="H210" s="3" t="e">
        <f t="shared" si="10"/>
        <v>#DIV/0!</v>
      </c>
      <c r="I210" s="3" t="e">
        <f t="shared" si="11"/>
        <v>#DIV/0!</v>
      </c>
    </row>
    <row r="211" spans="1:9" x14ac:dyDescent="0.55000000000000004">
      <c r="A211" s="1">
        <v>45867</v>
      </c>
      <c r="G211" s="3">
        <f t="shared" si="9"/>
        <v>0</v>
      </c>
      <c r="H211" s="3" t="e">
        <f t="shared" si="10"/>
        <v>#DIV/0!</v>
      </c>
      <c r="I211" s="3" t="e">
        <f t="shared" si="11"/>
        <v>#DIV/0!</v>
      </c>
    </row>
    <row r="212" spans="1:9" x14ac:dyDescent="0.55000000000000004">
      <c r="A212" s="1">
        <v>45868</v>
      </c>
      <c r="G212" s="3">
        <f t="shared" si="9"/>
        <v>0</v>
      </c>
      <c r="H212" s="3" t="e">
        <f t="shared" si="10"/>
        <v>#DIV/0!</v>
      </c>
      <c r="I212" s="3" t="e">
        <f t="shared" si="11"/>
        <v>#DIV/0!</v>
      </c>
    </row>
    <row r="213" spans="1:9" x14ac:dyDescent="0.55000000000000004">
      <c r="A213" s="1">
        <v>45869</v>
      </c>
      <c r="G213" s="3">
        <f t="shared" si="9"/>
        <v>0</v>
      </c>
      <c r="H213" s="3" t="e">
        <f t="shared" si="10"/>
        <v>#DIV/0!</v>
      </c>
      <c r="I213" s="3" t="e">
        <f t="shared" si="11"/>
        <v>#DIV/0!</v>
      </c>
    </row>
    <row r="214" spans="1:9" x14ac:dyDescent="0.55000000000000004">
      <c r="A214" s="1">
        <v>45870</v>
      </c>
      <c r="G214" s="3">
        <f t="shared" si="9"/>
        <v>0</v>
      </c>
      <c r="H214" s="3" t="e">
        <f t="shared" si="10"/>
        <v>#DIV/0!</v>
      </c>
      <c r="I214" s="3" t="e">
        <f t="shared" si="11"/>
        <v>#DIV/0!</v>
      </c>
    </row>
    <row r="215" spans="1:9" x14ac:dyDescent="0.55000000000000004">
      <c r="A215" s="1">
        <v>45871</v>
      </c>
      <c r="G215" s="3">
        <f t="shared" si="9"/>
        <v>0</v>
      </c>
      <c r="H215" s="3" t="e">
        <f t="shared" si="10"/>
        <v>#DIV/0!</v>
      </c>
      <c r="I215" s="3" t="e">
        <f t="shared" si="11"/>
        <v>#DIV/0!</v>
      </c>
    </row>
    <row r="216" spans="1:9" x14ac:dyDescent="0.55000000000000004">
      <c r="A216" s="1">
        <v>45872</v>
      </c>
      <c r="G216" s="3">
        <f t="shared" si="9"/>
        <v>0</v>
      </c>
      <c r="H216" s="3" t="e">
        <f t="shared" si="10"/>
        <v>#DIV/0!</v>
      </c>
      <c r="I216" s="3" t="e">
        <f t="shared" si="11"/>
        <v>#DIV/0!</v>
      </c>
    </row>
    <row r="217" spans="1:9" x14ac:dyDescent="0.55000000000000004">
      <c r="A217" s="1">
        <v>45873</v>
      </c>
      <c r="B217" s="2">
        <v>23</v>
      </c>
      <c r="C217" s="2">
        <v>10237</v>
      </c>
      <c r="G217" s="3">
        <f t="shared" si="9"/>
        <v>10237</v>
      </c>
      <c r="H217" s="3">
        <f t="shared" si="10"/>
        <v>445.08695652173913</v>
      </c>
      <c r="I217" s="3">
        <f t="shared" si="11"/>
        <v>445.08695652173913</v>
      </c>
    </row>
    <row r="218" spans="1:9" x14ac:dyDescent="0.55000000000000004">
      <c r="A218" s="1">
        <v>45874</v>
      </c>
      <c r="G218" s="3">
        <f t="shared" si="9"/>
        <v>0</v>
      </c>
      <c r="H218" s="3" t="e">
        <f t="shared" si="10"/>
        <v>#DIV/0!</v>
      </c>
      <c r="I218" s="3" t="e">
        <f t="shared" si="11"/>
        <v>#DIV/0!</v>
      </c>
    </row>
    <row r="219" spans="1:9" x14ac:dyDescent="0.55000000000000004">
      <c r="A219" s="1">
        <v>45875</v>
      </c>
      <c r="B219" s="2">
        <v>28</v>
      </c>
      <c r="C219" s="2">
        <v>11455</v>
      </c>
      <c r="D219" s="2">
        <v>6950</v>
      </c>
      <c r="F219" s="2">
        <v>249</v>
      </c>
      <c r="G219" s="3">
        <f t="shared" si="9"/>
        <v>18654</v>
      </c>
      <c r="H219" s="3">
        <f t="shared" si="10"/>
        <v>409.10714285714283</v>
      </c>
      <c r="I219" s="3">
        <f t="shared" si="11"/>
        <v>666.21428571428567</v>
      </c>
    </row>
    <row r="220" spans="1:9" x14ac:dyDescent="0.55000000000000004">
      <c r="A220" s="1">
        <v>45876</v>
      </c>
      <c r="B220" s="2">
        <v>21</v>
      </c>
      <c r="C220" s="2">
        <v>7701</v>
      </c>
      <c r="D220" s="2">
        <v>3550</v>
      </c>
      <c r="G220" s="3">
        <f t="shared" si="9"/>
        <v>11251</v>
      </c>
      <c r="H220" s="3">
        <f t="shared" si="10"/>
        <v>366.71428571428572</v>
      </c>
      <c r="I220" s="3">
        <f t="shared" si="11"/>
        <v>535.76190476190482</v>
      </c>
    </row>
    <row r="221" spans="1:9" x14ac:dyDescent="0.55000000000000004">
      <c r="A221" s="1">
        <v>45877</v>
      </c>
      <c r="B221" s="2">
        <v>26</v>
      </c>
      <c r="C221" s="2">
        <v>11037</v>
      </c>
      <c r="G221" s="3">
        <f t="shared" si="9"/>
        <v>11037</v>
      </c>
      <c r="H221" s="3">
        <f t="shared" si="10"/>
        <v>424.5</v>
      </c>
      <c r="I221" s="3">
        <f t="shared" si="11"/>
        <v>424.5</v>
      </c>
    </row>
    <row r="222" spans="1:9" x14ac:dyDescent="0.55000000000000004">
      <c r="A222" s="1">
        <v>45878</v>
      </c>
      <c r="G222" s="3">
        <f t="shared" si="9"/>
        <v>0</v>
      </c>
      <c r="H222" s="3" t="e">
        <f t="shared" si="10"/>
        <v>#DIV/0!</v>
      </c>
      <c r="I222" s="3" t="e">
        <f t="shared" si="11"/>
        <v>#DIV/0!</v>
      </c>
    </row>
    <row r="223" spans="1:9" x14ac:dyDescent="0.55000000000000004">
      <c r="A223" s="1">
        <v>45879</v>
      </c>
      <c r="G223" s="3">
        <f t="shared" si="9"/>
        <v>0</v>
      </c>
      <c r="H223" s="3" t="e">
        <f t="shared" si="10"/>
        <v>#DIV/0!</v>
      </c>
      <c r="I223" s="3" t="e">
        <f t="shared" si="11"/>
        <v>#DIV/0!</v>
      </c>
    </row>
    <row r="224" spans="1:9" x14ac:dyDescent="0.55000000000000004">
      <c r="A224" s="1">
        <v>45880</v>
      </c>
      <c r="G224" s="3">
        <f t="shared" si="9"/>
        <v>0</v>
      </c>
      <c r="H224" s="3" t="e">
        <f t="shared" si="10"/>
        <v>#DIV/0!</v>
      </c>
      <c r="I224" s="3" t="e">
        <f t="shared" si="11"/>
        <v>#DIV/0!</v>
      </c>
    </row>
    <row r="225" spans="1:9" x14ac:dyDescent="0.55000000000000004">
      <c r="A225" s="1">
        <v>45881</v>
      </c>
      <c r="G225" s="3">
        <f t="shared" si="9"/>
        <v>0</v>
      </c>
      <c r="H225" s="3" t="e">
        <f t="shared" si="10"/>
        <v>#DIV/0!</v>
      </c>
      <c r="I225" s="3" t="e">
        <f t="shared" si="11"/>
        <v>#DIV/0!</v>
      </c>
    </row>
    <row r="226" spans="1:9" x14ac:dyDescent="0.55000000000000004">
      <c r="A226" s="1">
        <v>45882</v>
      </c>
      <c r="B226" s="2">
        <v>4</v>
      </c>
      <c r="C226" s="2">
        <v>2748</v>
      </c>
      <c r="G226" s="3">
        <f t="shared" si="9"/>
        <v>2748</v>
      </c>
      <c r="H226" s="3">
        <f t="shared" si="10"/>
        <v>687</v>
      </c>
      <c r="I226" s="3">
        <f t="shared" si="11"/>
        <v>687</v>
      </c>
    </row>
    <row r="227" spans="1:9" x14ac:dyDescent="0.55000000000000004">
      <c r="A227" s="1">
        <v>45883</v>
      </c>
      <c r="G227" s="3">
        <f t="shared" si="9"/>
        <v>0</v>
      </c>
      <c r="H227" s="3" t="e">
        <f t="shared" si="10"/>
        <v>#DIV/0!</v>
      </c>
      <c r="I227" s="3" t="e">
        <f t="shared" si="11"/>
        <v>#DIV/0!</v>
      </c>
    </row>
    <row r="228" spans="1:9" x14ac:dyDescent="0.55000000000000004">
      <c r="A228" s="1">
        <v>45884</v>
      </c>
      <c r="B228" s="2">
        <v>28</v>
      </c>
      <c r="C228" s="2">
        <v>17098</v>
      </c>
      <c r="F228" s="2">
        <v>115</v>
      </c>
      <c r="G228" s="3">
        <f t="shared" si="9"/>
        <v>17213</v>
      </c>
      <c r="H228" s="3">
        <f t="shared" si="10"/>
        <v>610.64285714285711</v>
      </c>
      <c r="I228" s="3">
        <f t="shared" si="11"/>
        <v>614.75</v>
      </c>
    </row>
    <row r="229" spans="1:9" x14ac:dyDescent="0.55000000000000004">
      <c r="A229" s="1">
        <v>45885</v>
      </c>
      <c r="B229" s="2">
        <v>22</v>
      </c>
      <c r="C229" s="2">
        <v>10927</v>
      </c>
      <c r="D229" s="2">
        <v>3750</v>
      </c>
      <c r="G229" s="3">
        <f t="shared" si="9"/>
        <v>14677</v>
      </c>
      <c r="H229" s="3">
        <f t="shared" si="10"/>
        <v>496.68181818181819</v>
      </c>
      <c r="I229" s="3">
        <f t="shared" si="11"/>
        <v>667.13636363636363</v>
      </c>
    </row>
    <row r="230" spans="1:9" x14ac:dyDescent="0.55000000000000004">
      <c r="A230" s="1">
        <v>45886</v>
      </c>
      <c r="B230" s="2">
        <v>20</v>
      </c>
      <c r="C230" s="2">
        <v>9460</v>
      </c>
      <c r="D230" s="2">
        <v>7100</v>
      </c>
      <c r="G230" s="3">
        <f t="shared" si="9"/>
        <v>16560</v>
      </c>
      <c r="H230" s="3">
        <f t="shared" si="10"/>
        <v>473</v>
      </c>
      <c r="I230" s="3">
        <f t="shared" si="11"/>
        <v>828</v>
      </c>
    </row>
    <row r="231" spans="1:9" x14ac:dyDescent="0.55000000000000004">
      <c r="A231" s="1">
        <v>45887</v>
      </c>
      <c r="G231" s="3">
        <f t="shared" si="9"/>
        <v>0</v>
      </c>
      <c r="H231" s="3" t="e">
        <f t="shared" si="10"/>
        <v>#DIV/0!</v>
      </c>
      <c r="I231" s="3" t="e">
        <f t="shared" si="11"/>
        <v>#DIV/0!</v>
      </c>
    </row>
    <row r="232" spans="1:9" x14ac:dyDescent="0.55000000000000004">
      <c r="A232" s="1">
        <v>45888</v>
      </c>
      <c r="B232" s="2">
        <v>20</v>
      </c>
      <c r="C232" s="2">
        <v>9364</v>
      </c>
      <c r="G232" s="3">
        <f t="shared" si="9"/>
        <v>9364</v>
      </c>
      <c r="H232" s="3">
        <f t="shared" si="10"/>
        <v>468.2</v>
      </c>
      <c r="I232" s="3">
        <f t="shared" si="11"/>
        <v>468.2</v>
      </c>
    </row>
    <row r="233" spans="1:9" x14ac:dyDescent="0.55000000000000004">
      <c r="A233" s="1">
        <v>45889</v>
      </c>
      <c r="B233" s="2">
        <v>20</v>
      </c>
      <c r="C233" s="2">
        <v>9759</v>
      </c>
      <c r="D233" s="2">
        <v>3000</v>
      </c>
      <c r="F233" s="2">
        <v>99</v>
      </c>
      <c r="G233" s="3">
        <f t="shared" si="9"/>
        <v>12858</v>
      </c>
      <c r="H233" s="3">
        <f t="shared" si="10"/>
        <v>487.95</v>
      </c>
      <c r="I233" s="3">
        <f t="shared" si="11"/>
        <v>642.9</v>
      </c>
    </row>
    <row r="234" spans="1:9" x14ac:dyDescent="0.55000000000000004">
      <c r="A234" s="1">
        <v>45890</v>
      </c>
      <c r="B234" s="2">
        <v>20</v>
      </c>
      <c r="C234" s="2">
        <v>9866</v>
      </c>
      <c r="D234" s="2">
        <v>6300</v>
      </c>
      <c r="G234" s="3">
        <f t="shared" si="9"/>
        <v>16166</v>
      </c>
      <c r="H234" s="3">
        <f t="shared" si="10"/>
        <v>493.3</v>
      </c>
      <c r="I234" s="3">
        <f t="shared" si="11"/>
        <v>808.3</v>
      </c>
    </row>
    <row r="235" spans="1:9" x14ac:dyDescent="0.55000000000000004">
      <c r="A235" s="1">
        <v>45891</v>
      </c>
      <c r="G235" s="3">
        <f t="shared" si="9"/>
        <v>0</v>
      </c>
      <c r="H235" s="3" t="e">
        <f t="shared" si="10"/>
        <v>#DIV/0!</v>
      </c>
      <c r="I235" s="3" t="e">
        <f t="shared" si="11"/>
        <v>#DIV/0!</v>
      </c>
    </row>
    <row r="236" spans="1:9" x14ac:dyDescent="0.55000000000000004">
      <c r="A236" s="1">
        <v>45892</v>
      </c>
      <c r="G236" s="3">
        <f t="shared" si="9"/>
        <v>0</v>
      </c>
      <c r="H236" s="3" t="e">
        <f t="shared" si="10"/>
        <v>#DIV/0!</v>
      </c>
      <c r="I236" s="3" t="e">
        <f t="shared" si="11"/>
        <v>#DIV/0!</v>
      </c>
    </row>
    <row r="237" spans="1:9" x14ac:dyDescent="0.55000000000000004">
      <c r="A237" s="1">
        <v>45893</v>
      </c>
      <c r="G237" s="3">
        <f t="shared" si="9"/>
        <v>0</v>
      </c>
      <c r="H237" s="3" t="e">
        <f t="shared" si="10"/>
        <v>#DIV/0!</v>
      </c>
      <c r="I237" s="3" t="e">
        <f t="shared" si="11"/>
        <v>#DIV/0!</v>
      </c>
    </row>
    <row r="238" spans="1:9" x14ac:dyDescent="0.55000000000000004">
      <c r="A238" s="1">
        <v>45894</v>
      </c>
      <c r="G238" s="3">
        <f t="shared" si="9"/>
        <v>0</v>
      </c>
      <c r="H238" s="3" t="e">
        <f t="shared" si="10"/>
        <v>#DIV/0!</v>
      </c>
      <c r="I238" s="3" t="e">
        <f t="shared" si="11"/>
        <v>#DIV/0!</v>
      </c>
    </row>
    <row r="239" spans="1:9" x14ac:dyDescent="0.55000000000000004">
      <c r="A239" s="1">
        <v>45895</v>
      </c>
      <c r="G239" s="3">
        <f t="shared" si="9"/>
        <v>0</v>
      </c>
      <c r="H239" s="3" t="e">
        <f t="shared" si="10"/>
        <v>#DIV/0!</v>
      </c>
      <c r="I239" s="3" t="e">
        <f t="shared" si="11"/>
        <v>#DIV/0!</v>
      </c>
    </row>
    <row r="240" spans="1:9" x14ac:dyDescent="0.55000000000000004">
      <c r="A240" s="1">
        <v>45896</v>
      </c>
      <c r="B240" s="2">
        <v>30</v>
      </c>
      <c r="C240" s="2">
        <v>12614</v>
      </c>
      <c r="F240" s="2">
        <v>331</v>
      </c>
      <c r="G240" s="3">
        <f t="shared" si="9"/>
        <v>12945</v>
      </c>
      <c r="H240" s="3">
        <f t="shared" si="10"/>
        <v>420.46666666666664</v>
      </c>
      <c r="I240" s="3">
        <f t="shared" si="11"/>
        <v>431.5</v>
      </c>
    </row>
    <row r="241" spans="1:9" x14ac:dyDescent="0.55000000000000004">
      <c r="A241" s="1">
        <v>45897</v>
      </c>
      <c r="B241" s="2">
        <v>30</v>
      </c>
      <c r="C241" s="2">
        <v>11887</v>
      </c>
      <c r="D241" s="2">
        <v>9900</v>
      </c>
      <c r="F241" s="2">
        <v>607</v>
      </c>
      <c r="G241" s="3">
        <f t="shared" si="9"/>
        <v>22394</v>
      </c>
      <c r="H241" s="3">
        <f t="shared" si="10"/>
        <v>396.23333333333335</v>
      </c>
      <c r="I241" s="3">
        <f t="shared" si="11"/>
        <v>746.4666666666667</v>
      </c>
    </row>
    <row r="242" spans="1:9" x14ac:dyDescent="0.55000000000000004">
      <c r="A242" s="1">
        <v>45898</v>
      </c>
      <c r="B242" s="2">
        <v>32</v>
      </c>
      <c r="C242" s="2">
        <v>12861</v>
      </c>
      <c r="G242" s="3">
        <f t="shared" si="9"/>
        <v>12861</v>
      </c>
      <c r="H242" s="3">
        <f t="shared" si="10"/>
        <v>401.90625</v>
      </c>
      <c r="I242" s="3">
        <f t="shared" si="11"/>
        <v>401.90625</v>
      </c>
    </row>
    <row r="243" spans="1:9" x14ac:dyDescent="0.55000000000000004">
      <c r="A243" s="1">
        <v>45899</v>
      </c>
      <c r="B243" s="2">
        <v>23</v>
      </c>
      <c r="C243" s="2">
        <v>10992</v>
      </c>
      <c r="D243" s="2">
        <v>5775</v>
      </c>
      <c r="F243" s="2">
        <v>178</v>
      </c>
      <c r="G243" s="3">
        <f t="shared" si="9"/>
        <v>16945</v>
      </c>
      <c r="H243" s="3">
        <f t="shared" si="10"/>
        <v>477.91304347826087</v>
      </c>
      <c r="I243" s="3">
        <f t="shared" si="11"/>
        <v>736.73913043478262</v>
      </c>
    </row>
    <row r="244" spans="1:9" x14ac:dyDescent="0.55000000000000004">
      <c r="A244" s="1">
        <v>45900</v>
      </c>
      <c r="G244" s="3">
        <f t="shared" si="9"/>
        <v>0</v>
      </c>
      <c r="H244" s="3" t="e">
        <f t="shared" si="10"/>
        <v>#DIV/0!</v>
      </c>
      <c r="I244" s="3" t="e">
        <f t="shared" si="11"/>
        <v>#DIV/0!</v>
      </c>
    </row>
    <row r="245" spans="1:9" x14ac:dyDescent="0.55000000000000004">
      <c r="A245" s="1">
        <v>45901</v>
      </c>
      <c r="G245" s="3">
        <f t="shared" si="9"/>
        <v>0</v>
      </c>
      <c r="H245" s="3" t="e">
        <f t="shared" si="10"/>
        <v>#DIV/0!</v>
      </c>
      <c r="I245" s="3" t="e">
        <f t="shared" si="11"/>
        <v>#DIV/0!</v>
      </c>
    </row>
    <row r="246" spans="1:9" x14ac:dyDescent="0.55000000000000004">
      <c r="A246" s="1">
        <v>45902</v>
      </c>
      <c r="G246" s="3">
        <f t="shared" si="9"/>
        <v>0</v>
      </c>
      <c r="H246" s="3" t="e">
        <f t="shared" si="10"/>
        <v>#DIV/0!</v>
      </c>
      <c r="I246" s="3" t="e">
        <f t="shared" si="11"/>
        <v>#DIV/0!</v>
      </c>
    </row>
    <row r="247" spans="1:9" x14ac:dyDescent="0.55000000000000004">
      <c r="A247" s="1">
        <v>45903</v>
      </c>
      <c r="B247" s="2">
        <v>15</v>
      </c>
      <c r="C247" s="2">
        <v>6351</v>
      </c>
      <c r="D247" s="2">
        <v>900</v>
      </c>
      <c r="G247" s="3">
        <f t="shared" si="9"/>
        <v>7251</v>
      </c>
      <c r="H247" s="3">
        <f t="shared" si="10"/>
        <v>423.4</v>
      </c>
      <c r="I247" s="3">
        <f t="shared" si="11"/>
        <v>483.4</v>
      </c>
    </row>
    <row r="248" spans="1:9" x14ac:dyDescent="0.55000000000000004">
      <c r="A248" s="1">
        <v>45904</v>
      </c>
      <c r="G248" s="3">
        <f t="shared" si="9"/>
        <v>0</v>
      </c>
      <c r="H248" s="3" t="e">
        <f t="shared" si="10"/>
        <v>#DIV/0!</v>
      </c>
      <c r="I248" s="3" t="e">
        <f t="shared" si="11"/>
        <v>#DIV/0!</v>
      </c>
    </row>
    <row r="249" spans="1:9" x14ac:dyDescent="0.55000000000000004">
      <c r="A249" s="1">
        <v>45905</v>
      </c>
      <c r="G249" s="3">
        <f t="shared" si="9"/>
        <v>0</v>
      </c>
      <c r="H249" s="3" t="e">
        <f t="shared" si="10"/>
        <v>#DIV/0!</v>
      </c>
      <c r="I249" s="3" t="e">
        <f t="shared" si="11"/>
        <v>#DIV/0!</v>
      </c>
    </row>
    <row r="250" spans="1:9" x14ac:dyDescent="0.55000000000000004">
      <c r="A250" s="1">
        <v>45906</v>
      </c>
      <c r="G250" s="3">
        <f t="shared" si="9"/>
        <v>0</v>
      </c>
      <c r="H250" s="3" t="e">
        <f t="shared" si="10"/>
        <v>#DIV/0!</v>
      </c>
      <c r="I250" s="3" t="e">
        <f t="shared" si="11"/>
        <v>#DIV/0!</v>
      </c>
    </row>
    <row r="251" spans="1:9" x14ac:dyDescent="0.55000000000000004">
      <c r="A251" s="1">
        <v>45907</v>
      </c>
      <c r="G251" s="3">
        <f t="shared" si="9"/>
        <v>0</v>
      </c>
      <c r="H251" s="3" t="e">
        <f t="shared" si="10"/>
        <v>#DIV/0!</v>
      </c>
      <c r="I251" s="3" t="e">
        <f t="shared" si="11"/>
        <v>#DIV/0!</v>
      </c>
    </row>
    <row r="252" spans="1:9" x14ac:dyDescent="0.55000000000000004">
      <c r="A252" s="1">
        <v>45908</v>
      </c>
      <c r="G252" s="3">
        <f t="shared" si="9"/>
        <v>0</v>
      </c>
      <c r="H252" s="3" t="e">
        <f t="shared" si="10"/>
        <v>#DIV/0!</v>
      </c>
      <c r="I252" s="3" t="e">
        <f t="shared" si="11"/>
        <v>#DIV/0!</v>
      </c>
    </row>
    <row r="253" spans="1:9" x14ac:dyDescent="0.55000000000000004">
      <c r="A253" s="1">
        <v>45909</v>
      </c>
      <c r="G253" s="3">
        <f t="shared" si="9"/>
        <v>0</v>
      </c>
      <c r="H253" s="3" t="e">
        <f t="shared" si="10"/>
        <v>#DIV/0!</v>
      </c>
      <c r="I253" s="3" t="e">
        <f t="shared" si="11"/>
        <v>#DIV/0!</v>
      </c>
    </row>
    <row r="254" spans="1:9" x14ac:dyDescent="0.55000000000000004">
      <c r="A254" s="1">
        <v>45910</v>
      </c>
      <c r="G254" s="3">
        <f t="shared" si="9"/>
        <v>0</v>
      </c>
      <c r="H254" s="3" t="e">
        <f t="shared" si="10"/>
        <v>#DIV/0!</v>
      </c>
      <c r="I254" s="3" t="e">
        <f t="shared" si="11"/>
        <v>#DIV/0!</v>
      </c>
    </row>
    <row r="255" spans="1:9" x14ac:dyDescent="0.55000000000000004">
      <c r="A255" s="1">
        <v>45911</v>
      </c>
      <c r="G255" s="3">
        <f t="shared" si="9"/>
        <v>0</v>
      </c>
      <c r="H255" s="3" t="e">
        <f t="shared" si="10"/>
        <v>#DIV/0!</v>
      </c>
      <c r="I255" s="3" t="e">
        <f t="shared" si="11"/>
        <v>#DIV/0!</v>
      </c>
    </row>
    <row r="256" spans="1:9" x14ac:dyDescent="0.55000000000000004">
      <c r="A256" s="1">
        <v>45912</v>
      </c>
      <c r="G256" s="3">
        <f t="shared" si="9"/>
        <v>0</v>
      </c>
      <c r="H256" s="3" t="e">
        <f t="shared" si="10"/>
        <v>#DIV/0!</v>
      </c>
      <c r="I256" s="3" t="e">
        <f t="shared" si="11"/>
        <v>#DIV/0!</v>
      </c>
    </row>
    <row r="257" spans="1:9" x14ac:dyDescent="0.55000000000000004">
      <c r="A257" s="1">
        <v>45913</v>
      </c>
      <c r="G257" s="3">
        <f t="shared" si="9"/>
        <v>0</v>
      </c>
      <c r="H257" s="3" t="e">
        <f t="shared" si="10"/>
        <v>#DIV/0!</v>
      </c>
      <c r="I257" s="3" t="e">
        <f t="shared" si="11"/>
        <v>#DIV/0!</v>
      </c>
    </row>
    <row r="258" spans="1:9" x14ac:dyDescent="0.55000000000000004">
      <c r="A258" s="1">
        <v>45914</v>
      </c>
      <c r="G258" s="3">
        <f t="shared" ref="G258:G321" si="12">C258+D258+E258+F258</f>
        <v>0</v>
      </c>
      <c r="H258" s="3" t="e">
        <f t="shared" ref="H258:H321" si="13">C258/B258</f>
        <v>#DIV/0!</v>
      </c>
      <c r="I258" s="3" t="e">
        <f t="shared" ref="I258:I321" si="14">G258/B258</f>
        <v>#DIV/0!</v>
      </c>
    </row>
    <row r="259" spans="1:9" x14ac:dyDescent="0.55000000000000004">
      <c r="A259" s="1">
        <v>45915</v>
      </c>
      <c r="G259" s="3">
        <f t="shared" si="12"/>
        <v>0</v>
      </c>
      <c r="H259" s="3" t="e">
        <f t="shared" si="13"/>
        <v>#DIV/0!</v>
      </c>
      <c r="I259" s="3" t="e">
        <f t="shared" si="14"/>
        <v>#DIV/0!</v>
      </c>
    </row>
    <row r="260" spans="1:9" x14ac:dyDescent="0.55000000000000004">
      <c r="A260" s="1">
        <v>45916</v>
      </c>
      <c r="G260" s="3">
        <f t="shared" si="12"/>
        <v>0</v>
      </c>
      <c r="H260" s="3" t="e">
        <f t="shared" si="13"/>
        <v>#DIV/0!</v>
      </c>
      <c r="I260" s="3" t="e">
        <f t="shared" si="14"/>
        <v>#DIV/0!</v>
      </c>
    </row>
    <row r="261" spans="1:9" x14ac:dyDescent="0.55000000000000004">
      <c r="A261" s="1">
        <v>45917</v>
      </c>
      <c r="G261" s="3">
        <f t="shared" si="12"/>
        <v>0</v>
      </c>
      <c r="H261" s="3" t="e">
        <f t="shared" si="13"/>
        <v>#DIV/0!</v>
      </c>
      <c r="I261" s="3" t="e">
        <f t="shared" si="14"/>
        <v>#DIV/0!</v>
      </c>
    </row>
    <row r="262" spans="1:9" x14ac:dyDescent="0.55000000000000004">
      <c r="A262" s="1">
        <v>45918</v>
      </c>
      <c r="G262" s="3">
        <f t="shared" si="12"/>
        <v>0</v>
      </c>
      <c r="H262" s="3" t="e">
        <f t="shared" si="13"/>
        <v>#DIV/0!</v>
      </c>
      <c r="I262" s="3" t="e">
        <f t="shared" si="14"/>
        <v>#DIV/0!</v>
      </c>
    </row>
    <row r="263" spans="1:9" x14ac:dyDescent="0.55000000000000004">
      <c r="A263" s="1">
        <v>45919</v>
      </c>
      <c r="G263" s="3">
        <f t="shared" si="12"/>
        <v>0</v>
      </c>
      <c r="H263" s="3" t="e">
        <f t="shared" si="13"/>
        <v>#DIV/0!</v>
      </c>
      <c r="I263" s="3" t="e">
        <f t="shared" si="14"/>
        <v>#DIV/0!</v>
      </c>
    </row>
    <row r="264" spans="1:9" x14ac:dyDescent="0.55000000000000004">
      <c r="A264" s="1">
        <v>45920</v>
      </c>
      <c r="G264" s="3">
        <f t="shared" si="12"/>
        <v>0</v>
      </c>
      <c r="H264" s="3" t="e">
        <f t="shared" si="13"/>
        <v>#DIV/0!</v>
      </c>
      <c r="I264" s="3" t="e">
        <f t="shared" si="14"/>
        <v>#DIV/0!</v>
      </c>
    </row>
    <row r="265" spans="1:9" x14ac:dyDescent="0.55000000000000004">
      <c r="A265" s="1">
        <v>45921</v>
      </c>
      <c r="G265" s="3">
        <f t="shared" si="12"/>
        <v>0</v>
      </c>
      <c r="H265" s="3" t="e">
        <f t="shared" si="13"/>
        <v>#DIV/0!</v>
      </c>
      <c r="I265" s="3" t="e">
        <f t="shared" si="14"/>
        <v>#DIV/0!</v>
      </c>
    </row>
    <row r="266" spans="1:9" x14ac:dyDescent="0.55000000000000004">
      <c r="A266" s="1">
        <v>45922</v>
      </c>
      <c r="G266" s="3">
        <f t="shared" si="12"/>
        <v>0</v>
      </c>
      <c r="H266" s="3" t="e">
        <f t="shared" si="13"/>
        <v>#DIV/0!</v>
      </c>
      <c r="I266" s="3" t="e">
        <f t="shared" si="14"/>
        <v>#DIV/0!</v>
      </c>
    </row>
    <row r="267" spans="1:9" x14ac:dyDescent="0.55000000000000004">
      <c r="A267" s="1">
        <v>45923</v>
      </c>
      <c r="G267" s="3">
        <f t="shared" si="12"/>
        <v>0</v>
      </c>
      <c r="H267" s="3" t="e">
        <f t="shared" si="13"/>
        <v>#DIV/0!</v>
      </c>
      <c r="I267" s="3" t="e">
        <f t="shared" si="14"/>
        <v>#DIV/0!</v>
      </c>
    </row>
    <row r="268" spans="1:9" x14ac:dyDescent="0.55000000000000004">
      <c r="A268" s="1">
        <v>45924</v>
      </c>
      <c r="G268" s="3">
        <f t="shared" si="12"/>
        <v>0</v>
      </c>
      <c r="H268" s="3" t="e">
        <f t="shared" si="13"/>
        <v>#DIV/0!</v>
      </c>
      <c r="I268" s="3" t="e">
        <f t="shared" si="14"/>
        <v>#DIV/0!</v>
      </c>
    </row>
    <row r="269" spans="1:9" x14ac:dyDescent="0.55000000000000004">
      <c r="A269" s="1">
        <v>45925</v>
      </c>
      <c r="G269" s="3">
        <f t="shared" si="12"/>
        <v>0</v>
      </c>
      <c r="H269" s="3" t="e">
        <f t="shared" si="13"/>
        <v>#DIV/0!</v>
      </c>
      <c r="I269" s="3" t="e">
        <f t="shared" si="14"/>
        <v>#DIV/0!</v>
      </c>
    </row>
    <row r="270" spans="1:9" x14ac:dyDescent="0.55000000000000004">
      <c r="A270" s="1">
        <v>45926</v>
      </c>
      <c r="B270" s="2">
        <v>20</v>
      </c>
      <c r="C270" s="2">
        <v>11633</v>
      </c>
      <c r="G270" s="3">
        <f t="shared" si="12"/>
        <v>11633</v>
      </c>
      <c r="H270" s="3">
        <f t="shared" si="13"/>
        <v>581.65</v>
      </c>
      <c r="I270" s="3">
        <f t="shared" si="14"/>
        <v>581.65</v>
      </c>
    </row>
    <row r="271" spans="1:9" x14ac:dyDescent="0.55000000000000004">
      <c r="A271" s="1">
        <v>45927</v>
      </c>
      <c r="G271" s="3">
        <f t="shared" si="12"/>
        <v>0</v>
      </c>
      <c r="H271" s="3" t="e">
        <f t="shared" si="13"/>
        <v>#DIV/0!</v>
      </c>
      <c r="I271" s="3" t="e">
        <f t="shared" si="14"/>
        <v>#DIV/0!</v>
      </c>
    </row>
    <row r="272" spans="1:9" x14ac:dyDescent="0.55000000000000004">
      <c r="A272" s="1">
        <v>45928</v>
      </c>
      <c r="G272" s="3">
        <f t="shared" si="12"/>
        <v>0</v>
      </c>
      <c r="H272" s="3" t="e">
        <f t="shared" si="13"/>
        <v>#DIV/0!</v>
      </c>
      <c r="I272" s="3" t="e">
        <f t="shared" si="14"/>
        <v>#DIV/0!</v>
      </c>
    </row>
    <row r="273" spans="1:9" x14ac:dyDescent="0.55000000000000004">
      <c r="A273" s="1">
        <v>45929</v>
      </c>
      <c r="B273" s="2">
        <v>16</v>
      </c>
      <c r="C273" s="2">
        <v>7162</v>
      </c>
      <c r="D273" s="2">
        <v>900</v>
      </c>
      <c r="F273" s="2">
        <v>310</v>
      </c>
      <c r="G273" s="3">
        <f t="shared" si="12"/>
        <v>8372</v>
      </c>
      <c r="H273" s="3">
        <f t="shared" si="13"/>
        <v>447.625</v>
      </c>
      <c r="I273" s="3">
        <f t="shared" si="14"/>
        <v>523.25</v>
      </c>
    </row>
    <row r="274" spans="1:9" x14ac:dyDescent="0.55000000000000004">
      <c r="A274" s="1">
        <v>45930</v>
      </c>
      <c r="G274" s="3">
        <f t="shared" si="12"/>
        <v>0</v>
      </c>
      <c r="H274" s="3" t="e">
        <f t="shared" si="13"/>
        <v>#DIV/0!</v>
      </c>
      <c r="I274" s="3" t="e">
        <f t="shared" si="14"/>
        <v>#DIV/0!</v>
      </c>
    </row>
    <row r="275" spans="1:9" x14ac:dyDescent="0.55000000000000004">
      <c r="A275" s="1">
        <v>45931</v>
      </c>
      <c r="G275" s="3">
        <f t="shared" si="12"/>
        <v>0</v>
      </c>
      <c r="H275" s="3" t="e">
        <f t="shared" si="13"/>
        <v>#DIV/0!</v>
      </c>
      <c r="I275" s="3" t="e">
        <f t="shared" si="14"/>
        <v>#DIV/0!</v>
      </c>
    </row>
    <row r="276" spans="1:9" x14ac:dyDescent="0.55000000000000004">
      <c r="A276" s="1">
        <v>45932</v>
      </c>
      <c r="G276" s="3">
        <f t="shared" si="12"/>
        <v>0</v>
      </c>
      <c r="H276" s="3" t="e">
        <f t="shared" si="13"/>
        <v>#DIV/0!</v>
      </c>
      <c r="I276" s="3" t="e">
        <f t="shared" si="14"/>
        <v>#DIV/0!</v>
      </c>
    </row>
    <row r="277" spans="1:9" x14ac:dyDescent="0.55000000000000004">
      <c r="A277" s="1">
        <v>45933</v>
      </c>
      <c r="G277" s="3">
        <f t="shared" si="12"/>
        <v>0</v>
      </c>
      <c r="H277" s="3" t="e">
        <f t="shared" si="13"/>
        <v>#DIV/0!</v>
      </c>
      <c r="I277" s="3" t="e">
        <f t="shared" si="14"/>
        <v>#DIV/0!</v>
      </c>
    </row>
    <row r="278" spans="1:9" x14ac:dyDescent="0.55000000000000004">
      <c r="A278" s="1">
        <v>45934</v>
      </c>
      <c r="G278" s="3">
        <f t="shared" si="12"/>
        <v>0</v>
      </c>
      <c r="H278" s="3" t="e">
        <f t="shared" si="13"/>
        <v>#DIV/0!</v>
      </c>
      <c r="I278" s="3" t="e">
        <f t="shared" si="14"/>
        <v>#DIV/0!</v>
      </c>
    </row>
    <row r="279" spans="1:9" x14ac:dyDescent="0.55000000000000004">
      <c r="A279" s="1">
        <v>45935</v>
      </c>
      <c r="B279" s="2">
        <v>42</v>
      </c>
      <c r="C279" s="2">
        <v>17923</v>
      </c>
      <c r="G279" s="3">
        <f t="shared" si="12"/>
        <v>17923</v>
      </c>
      <c r="H279" s="3">
        <f t="shared" si="13"/>
        <v>426.73809523809524</v>
      </c>
      <c r="I279" s="3">
        <f t="shared" si="14"/>
        <v>426.73809523809524</v>
      </c>
    </row>
    <row r="280" spans="1:9" x14ac:dyDescent="0.55000000000000004">
      <c r="A280" s="1">
        <v>45936</v>
      </c>
      <c r="B280" s="2">
        <v>27</v>
      </c>
      <c r="C280" s="2">
        <v>9708</v>
      </c>
      <c r="D280" s="2">
        <v>2725</v>
      </c>
      <c r="E280" s="2">
        <v>343</v>
      </c>
      <c r="G280" s="3">
        <f t="shared" si="12"/>
        <v>12776</v>
      </c>
      <c r="H280" s="3">
        <f t="shared" si="13"/>
        <v>359.55555555555554</v>
      </c>
      <c r="I280" s="3">
        <f t="shared" si="14"/>
        <v>473.18518518518516</v>
      </c>
    </row>
    <row r="281" spans="1:9" x14ac:dyDescent="0.55000000000000004">
      <c r="A281" s="1">
        <v>45937</v>
      </c>
      <c r="G281" s="3">
        <f t="shared" si="12"/>
        <v>0</v>
      </c>
      <c r="H281" s="3" t="e">
        <f t="shared" si="13"/>
        <v>#DIV/0!</v>
      </c>
      <c r="I281" s="3" t="e">
        <f t="shared" si="14"/>
        <v>#DIV/0!</v>
      </c>
    </row>
    <row r="282" spans="1:9" x14ac:dyDescent="0.55000000000000004">
      <c r="A282" s="1">
        <v>45938</v>
      </c>
      <c r="G282" s="3">
        <f t="shared" si="12"/>
        <v>0</v>
      </c>
      <c r="H282" s="3" t="e">
        <f t="shared" si="13"/>
        <v>#DIV/0!</v>
      </c>
      <c r="I282" s="3" t="e">
        <f t="shared" si="14"/>
        <v>#DIV/0!</v>
      </c>
    </row>
    <row r="283" spans="1:9" x14ac:dyDescent="0.55000000000000004">
      <c r="A283" s="1">
        <v>45939</v>
      </c>
      <c r="B283" s="2">
        <v>13</v>
      </c>
      <c r="C283" s="2">
        <v>6879</v>
      </c>
      <c r="D283" s="2">
        <v>825</v>
      </c>
      <c r="F283" s="2">
        <v>396</v>
      </c>
      <c r="G283" s="3">
        <f t="shared" si="12"/>
        <v>8100</v>
      </c>
      <c r="H283" s="3">
        <f t="shared" si="13"/>
        <v>529.15384615384619</v>
      </c>
      <c r="I283" s="3">
        <f t="shared" si="14"/>
        <v>623.07692307692309</v>
      </c>
    </row>
    <row r="284" spans="1:9" x14ac:dyDescent="0.55000000000000004">
      <c r="A284" s="1">
        <v>45940</v>
      </c>
      <c r="B284" s="2">
        <v>33</v>
      </c>
      <c r="C284" s="2">
        <v>12330</v>
      </c>
      <c r="D284" s="2">
        <v>2100</v>
      </c>
      <c r="G284" s="3">
        <f t="shared" si="12"/>
        <v>14430</v>
      </c>
      <c r="H284" s="3">
        <f t="shared" si="13"/>
        <v>373.63636363636363</v>
      </c>
      <c r="I284" s="3">
        <f t="shared" si="14"/>
        <v>437.27272727272725</v>
      </c>
    </row>
    <row r="285" spans="1:9" x14ac:dyDescent="0.55000000000000004">
      <c r="A285" s="1">
        <v>45941</v>
      </c>
      <c r="B285" s="2">
        <v>11</v>
      </c>
      <c r="C285" s="2">
        <v>8588</v>
      </c>
      <c r="D285" s="2">
        <v>3700</v>
      </c>
      <c r="G285" s="3">
        <f t="shared" si="12"/>
        <v>12288</v>
      </c>
      <c r="H285" s="3">
        <f t="shared" si="13"/>
        <v>780.72727272727275</v>
      </c>
      <c r="I285" s="3">
        <f t="shared" si="14"/>
        <v>1117.090909090909</v>
      </c>
    </row>
    <row r="286" spans="1:9" x14ac:dyDescent="0.55000000000000004">
      <c r="A286" s="1">
        <v>45942</v>
      </c>
      <c r="B286" s="2">
        <v>39</v>
      </c>
      <c r="C286" s="2">
        <v>16009</v>
      </c>
      <c r="D286" s="2">
        <v>2100</v>
      </c>
      <c r="F286" s="2">
        <v>110</v>
      </c>
      <c r="G286" s="3">
        <f t="shared" si="12"/>
        <v>18219</v>
      </c>
      <c r="H286" s="3">
        <f t="shared" si="13"/>
        <v>410.4871794871795</v>
      </c>
      <c r="I286" s="3">
        <f t="shared" si="14"/>
        <v>467.15384615384613</v>
      </c>
    </row>
    <row r="287" spans="1:9" x14ac:dyDescent="0.55000000000000004">
      <c r="A287" s="1">
        <v>45943</v>
      </c>
      <c r="B287" s="2">
        <v>20</v>
      </c>
      <c r="C287" s="2">
        <v>8693</v>
      </c>
      <c r="D287" s="2">
        <v>900</v>
      </c>
      <c r="G287" s="3">
        <f t="shared" si="12"/>
        <v>9593</v>
      </c>
      <c r="H287" s="3">
        <f t="shared" si="13"/>
        <v>434.65</v>
      </c>
      <c r="I287" s="3">
        <f t="shared" si="14"/>
        <v>479.65</v>
      </c>
    </row>
    <row r="288" spans="1:9" x14ac:dyDescent="0.55000000000000004">
      <c r="A288" s="1">
        <v>45944</v>
      </c>
      <c r="B288" s="2">
        <v>21</v>
      </c>
      <c r="C288" s="2">
        <v>8761</v>
      </c>
      <c r="D288" s="2">
        <v>2750</v>
      </c>
      <c r="F288" s="2">
        <v>403</v>
      </c>
      <c r="G288" s="3">
        <f t="shared" si="12"/>
        <v>11914</v>
      </c>
      <c r="H288" s="3">
        <f t="shared" si="13"/>
        <v>417.1904761904762</v>
      </c>
      <c r="I288" s="3">
        <f t="shared" si="14"/>
        <v>567.33333333333337</v>
      </c>
    </row>
    <row r="289" spans="1:9" x14ac:dyDescent="0.55000000000000004">
      <c r="A289" s="1">
        <v>45945</v>
      </c>
      <c r="G289" s="3">
        <f t="shared" si="12"/>
        <v>0</v>
      </c>
      <c r="H289" s="3" t="e">
        <f t="shared" si="13"/>
        <v>#DIV/0!</v>
      </c>
      <c r="I289" s="3" t="e">
        <f t="shared" si="14"/>
        <v>#DIV/0!</v>
      </c>
    </row>
    <row r="290" spans="1:9" x14ac:dyDescent="0.55000000000000004">
      <c r="A290" s="1">
        <v>45946</v>
      </c>
      <c r="B290" s="2">
        <v>24</v>
      </c>
      <c r="C290" s="2">
        <v>11850</v>
      </c>
      <c r="D290" s="2">
        <v>4950</v>
      </c>
      <c r="F290" s="2">
        <v>99</v>
      </c>
      <c r="G290" s="3">
        <f t="shared" si="12"/>
        <v>16899</v>
      </c>
      <c r="H290" s="3">
        <f t="shared" si="13"/>
        <v>493.75</v>
      </c>
      <c r="I290" s="3">
        <f t="shared" si="14"/>
        <v>704.125</v>
      </c>
    </row>
    <row r="291" spans="1:9" x14ac:dyDescent="0.55000000000000004">
      <c r="A291" s="1">
        <v>45947</v>
      </c>
      <c r="G291" s="3">
        <f t="shared" si="12"/>
        <v>0</v>
      </c>
      <c r="H291" s="3" t="e">
        <f t="shared" si="13"/>
        <v>#DIV/0!</v>
      </c>
      <c r="I291" s="3" t="e">
        <f t="shared" si="14"/>
        <v>#DIV/0!</v>
      </c>
    </row>
    <row r="292" spans="1:9" x14ac:dyDescent="0.55000000000000004">
      <c r="A292" s="1">
        <v>45948</v>
      </c>
      <c r="G292" s="3">
        <f t="shared" si="12"/>
        <v>0</v>
      </c>
      <c r="H292" s="3" t="e">
        <f t="shared" si="13"/>
        <v>#DIV/0!</v>
      </c>
      <c r="I292" s="3" t="e">
        <f t="shared" si="14"/>
        <v>#DIV/0!</v>
      </c>
    </row>
    <row r="293" spans="1:9" x14ac:dyDescent="0.55000000000000004">
      <c r="A293" s="1">
        <v>45949</v>
      </c>
      <c r="G293" s="3">
        <f t="shared" si="12"/>
        <v>0</v>
      </c>
      <c r="H293" s="3" t="e">
        <f t="shared" si="13"/>
        <v>#DIV/0!</v>
      </c>
      <c r="I293" s="3" t="e">
        <f t="shared" si="14"/>
        <v>#DIV/0!</v>
      </c>
    </row>
    <row r="294" spans="1:9" x14ac:dyDescent="0.55000000000000004">
      <c r="A294" s="1">
        <v>45950</v>
      </c>
      <c r="B294" s="2">
        <v>12</v>
      </c>
      <c r="C294" s="2">
        <v>6644</v>
      </c>
      <c r="D294" s="2">
        <v>1000</v>
      </c>
      <c r="G294" s="3">
        <f t="shared" si="12"/>
        <v>7644</v>
      </c>
      <c r="H294" s="3">
        <f t="shared" si="13"/>
        <v>553.66666666666663</v>
      </c>
      <c r="I294" s="3">
        <f t="shared" si="14"/>
        <v>637</v>
      </c>
    </row>
    <row r="295" spans="1:9" x14ac:dyDescent="0.55000000000000004">
      <c r="A295" s="1">
        <v>45951</v>
      </c>
      <c r="B295" s="2">
        <v>15</v>
      </c>
      <c r="C295" s="2">
        <v>7896</v>
      </c>
      <c r="D295" s="2">
        <v>1625</v>
      </c>
      <c r="G295" s="3">
        <f t="shared" si="12"/>
        <v>9521</v>
      </c>
      <c r="H295" s="3">
        <f t="shared" si="13"/>
        <v>526.4</v>
      </c>
      <c r="I295" s="3">
        <f t="shared" si="14"/>
        <v>634.73333333333335</v>
      </c>
    </row>
    <row r="296" spans="1:9" x14ac:dyDescent="0.55000000000000004">
      <c r="A296" s="1">
        <v>45952</v>
      </c>
      <c r="G296" s="3">
        <f t="shared" si="12"/>
        <v>0</v>
      </c>
      <c r="H296" s="3" t="e">
        <f t="shared" si="13"/>
        <v>#DIV/0!</v>
      </c>
      <c r="I296" s="3" t="e">
        <f t="shared" si="14"/>
        <v>#DIV/0!</v>
      </c>
    </row>
    <row r="297" spans="1:9" x14ac:dyDescent="0.55000000000000004">
      <c r="A297" s="1">
        <v>45953</v>
      </c>
      <c r="G297" s="3">
        <f t="shared" si="12"/>
        <v>0</v>
      </c>
      <c r="H297" s="3" t="e">
        <f t="shared" si="13"/>
        <v>#DIV/0!</v>
      </c>
      <c r="I297" s="3" t="e">
        <f t="shared" si="14"/>
        <v>#DIV/0!</v>
      </c>
    </row>
    <row r="298" spans="1:9" x14ac:dyDescent="0.55000000000000004">
      <c r="A298" s="1">
        <v>45954</v>
      </c>
      <c r="G298" s="3">
        <f t="shared" si="12"/>
        <v>0</v>
      </c>
      <c r="H298" s="3" t="e">
        <f t="shared" si="13"/>
        <v>#DIV/0!</v>
      </c>
      <c r="I298" s="3" t="e">
        <f t="shared" si="14"/>
        <v>#DIV/0!</v>
      </c>
    </row>
    <row r="299" spans="1:9" x14ac:dyDescent="0.55000000000000004">
      <c r="A299" s="1">
        <v>45955</v>
      </c>
      <c r="G299" s="3">
        <f t="shared" si="12"/>
        <v>0</v>
      </c>
      <c r="H299" s="3" t="e">
        <f t="shared" si="13"/>
        <v>#DIV/0!</v>
      </c>
      <c r="I299" s="3" t="e">
        <f t="shared" si="14"/>
        <v>#DIV/0!</v>
      </c>
    </row>
    <row r="300" spans="1:9" x14ac:dyDescent="0.55000000000000004">
      <c r="A300" s="1">
        <v>45956</v>
      </c>
      <c r="G300" s="3">
        <f t="shared" si="12"/>
        <v>0</v>
      </c>
      <c r="H300" s="3" t="e">
        <f t="shared" si="13"/>
        <v>#DIV/0!</v>
      </c>
      <c r="I300" s="3" t="e">
        <f t="shared" si="14"/>
        <v>#DIV/0!</v>
      </c>
    </row>
    <row r="301" spans="1:9" x14ac:dyDescent="0.55000000000000004">
      <c r="A301" s="1">
        <v>45957</v>
      </c>
      <c r="G301" s="3">
        <f t="shared" si="12"/>
        <v>0</v>
      </c>
      <c r="H301" s="3" t="e">
        <f t="shared" si="13"/>
        <v>#DIV/0!</v>
      </c>
      <c r="I301" s="3" t="e">
        <f t="shared" si="14"/>
        <v>#DIV/0!</v>
      </c>
    </row>
    <row r="302" spans="1:9" x14ac:dyDescent="0.55000000000000004">
      <c r="A302" s="1">
        <v>45958</v>
      </c>
      <c r="G302" s="3">
        <f t="shared" si="12"/>
        <v>0</v>
      </c>
      <c r="H302" s="3" t="e">
        <f t="shared" si="13"/>
        <v>#DIV/0!</v>
      </c>
      <c r="I302" s="3" t="e">
        <f t="shared" si="14"/>
        <v>#DIV/0!</v>
      </c>
    </row>
    <row r="303" spans="1:9" x14ac:dyDescent="0.55000000000000004">
      <c r="A303" s="1">
        <v>45959</v>
      </c>
      <c r="G303" s="3">
        <f t="shared" si="12"/>
        <v>0</v>
      </c>
      <c r="H303" s="3" t="e">
        <f t="shared" si="13"/>
        <v>#DIV/0!</v>
      </c>
      <c r="I303" s="3" t="e">
        <f t="shared" si="14"/>
        <v>#DIV/0!</v>
      </c>
    </row>
    <row r="304" spans="1:9" x14ac:dyDescent="0.55000000000000004">
      <c r="A304" s="1">
        <v>45960</v>
      </c>
      <c r="G304" s="3">
        <f t="shared" si="12"/>
        <v>0</v>
      </c>
      <c r="H304" s="3" t="e">
        <f t="shared" si="13"/>
        <v>#DIV/0!</v>
      </c>
      <c r="I304" s="3" t="e">
        <f t="shared" si="14"/>
        <v>#DIV/0!</v>
      </c>
    </row>
    <row r="305" spans="1:9" x14ac:dyDescent="0.55000000000000004">
      <c r="A305" s="1">
        <v>45961</v>
      </c>
      <c r="G305" s="3">
        <f t="shared" si="12"/>
        <v>0</v>
      </c>
      <c r="H305" s="3" t="e">
        <f t="shared" si="13"/>
        <v>#DIV/0!</v>
      </c>
      <c r="I305" s="3" t="e">
        <f t="shared" si="14"/>
        <v>#DIV/0!</v>
      </c>
    </row>
    <row r="306" spans="1:9" x14ac:dyDescent="0.55000000000000004">
      <c r="A306" s="1">
        <v>45962</v>
      </c>
      <c r="G306" s="3">
        <f t="shared" si="12"/>
        <v>0</v>
      </c>
      <c r="H306" s="3" t="e">
        <f t="shared" si="13"/>
        <v>#DIV/0!</v>
      </c>
      <c r="I306" s="3" t="e">
        <f t="shared" si="14"/>
        <v>#DIV/0!</v>
      </c>
    </row>
    <row r="307" spans="1:9" x14ac:dyDescent="0.55000000000000004">
      <c r="A307" s="1">
        <v>45963</v>
      </c>
      <c r="G307" s="3">
        <f t="shared" si="12"/>
        <v>0</v>
      </c>
      <c r="H307" s="3" t="e">
        <f t="shared" si="13"/>
        <v>#DIV/0!</v>
      </c>
      <c r="I307" s="3" t="e">
        <f t="shared" si="14"/>
        <v>#DIV/0!</v>
      </c>
    </row>
    <row r="308" spans="1:9" x14ac:dyDescent="0.55000000000000004">
      <c r="A308" s="1">
        <v>45964</v>
      </c>
      <c r="G308" s="3">
        <f t="shared" si="12"/>
        <v>0</v>
      </c>
      <c r="H308" s="3" t="e">
        <f t="shared" si="13"/>
        <v>#DIV/0!</v>
      </c>
      <c r="I308" s="3" t="e">
        <f t="shared" si="14"/>
        <v>#DIV/0!</v>
      </c>
    </row>
    <row r="309" spans="1:9" x14ac:dyDescent="0.55000000000000004">
      <c r="A309" s="1">
        <v>45965</v>
      </c>
      <c r="G309" s="3">
        <f t="shared" si="12"/>
        <v>0</v>
      </c>
      <c r="H309" s="3" t="e">
        <f t="shared" si="13"/>
        <v>#DIV/0!</v>
      </c>
      <c r="I309" s="3" t="e">
        <f t="shared" si="14"/>
        <v>#DIV/0!</v>
      </c>
    </row>
    <row r="310" spans="1:9" x14ac:dyDescent="0.55000000000000004">
      <c r="A310" s="1">
        <v>45966</v>
      </c>
      <c r="G310" s="3">
        <f t="shared" si="12"/>
        <v>0</v>
      </c>
      <c r="H310" s="3" t="e">
        <f t="shared" si="13"/>
        <v>#DIV/0!</v>
      </c>
      <c r="I310" s="3" t="e">
        <f t="shared" si="14"/>
        <v>#DIV/0!</v>
      </c>
    </row>
    <row r="311" spans="1:9" x14ac:dyDescent="0.55000000000000004">
      <c r="A311" s="1">
        <v>45967</v>
      </c>
      <c r="G311" s="3">
        <f t="shared" si="12"/>
        <v>0</v>
      </c>
      <c r="H311" s="3" t="e">
        <f t="shared" si="13"/>
        <v>#DIV/0!</v>
      </c>
      <c r="I311" s="3" t="e">
        <f t="shared" si="14"/>
        <v>#DIV/0!</v>
      </c>
    </row>
    <row r="312" spans="1:9" x14ac:dyDescent="0.55000000000000004">
      <c r="A312" s="1">
        <v>45968</v>
      </c>
      <c r="G312" s="3">
        <f t="shared" si="12"/>
        <v>0</v>
      </c>
      <c r="H312" s="3" t="e">
        <f t="shared" si="13"/>
        <v>#DIV/0!</v>
      </c>
      <c r="I312" s="3" t="e">
        <f t="shared" si="14"/>
        <v>#DIV/0!</v>
      </c>
    </row>
    <row r="313" spans="1:9" x14ac:dyDescent="0.55000000000000004">
      <c r="A313" s="1">
        <v>45969</v>
      </c>
      <c r="G313" s="3">
        <f t="shared" si="12"/>
        <v>0</v>
      </c>
      <c r="H313" s="3" t="e">
        <f t="shared" si="13"/>
        <v>#DIV/0!</v>
      </c>
      <c r="I313" s="3" t="e">
        <f t="shared" si="14"/>
        <v>#DIV/0!</v>
      </c>
    </row>
    <row r="314" spans="1:9" x14ac:dyDescent="0.55000000000000004">
      <c r="A314" s="1">
        <v>45970</v>
      </c>
      <c r="G314" s="3">
        <f t="shared" si="12"/>
        <v>0</v>
      </c>
      <c r="H314" s="3" t="e">
        <f t="shared" si="13"/>
        <v>#DIV/0!</v>
      </c>
      <c r="I314" s="3" t="e">
        <f t="shared" si="14"/>
        <v>#DIV/0!</v>
      </c>
    </row>
    <row r="315" spans="1:9" x14ac:dyDescent="0.55000000000000004">
      <c r="A315" s="1">
        <v>45971</v>
      </c>
      <c r="G315" s="3">
        <f t="shared" si="12"/>
        <v>0</v>
      </c>
      <c r="H315" s="3" t="e">
        <f t="shared" si="13"/>
        <v>#DIV/0!</v>
      </c>
      <c r="I315" s="3" t="e">
        <f t="shared" si="14"/>
        <v>#DIV/0!</v>
      </c>
    </row>
    <row r="316" spans="1:9" x14ac:dyDescent="0.55000000000000004">
      <c r="A316" s="1">
        <v>45972</v>
      </c>
      <c r="G316" s="3">
        <f t="shared" si="12"/>
        <v>0</v>
      </c>
      <c r="H316" s="3" t="e">
        <f t="shared" si="13"/>
        <v>#DIV/0!</v>
      </c>
      <c r="I316" s="3" t="e">
        <f t="shared" si="14"/>
        <v>#DIV/0!</v>
      </c>
    </row>
    <row r="317" spans="1:9" x14ac:dyDescent="0.55000000000000004">
      <c r="A317" s="1">
        <v>45973</v>
      </c>
      <c r="G317" s="3">
        <f t="shared" si="12"/>
        <v>0</v>
      </c>
      <c r="H317" s="3" t="e">
        <f t="shared" si="13"/>
        <v>#DIV/0!</v>
      </c>
      <c r="I317" s="3" t="e">
        <f t="shared" si="14"/>
        <v>#DIV/0!</v>
      </c>
    </row>
    <row r="318" spans="1:9" x14ac:dyDescent="0.55000000000000004">
      <c r="A318" s="1">
        <v>45974</v>
      </c>
      <c r="G318" s="3">
        <f t="shared" si="12"/>
        <v>0</v>
      </c>
      <c r="H318" s="3" t="e">
        <f t="shared" si="13"/>
        <v>#DIV/0!</v>
      </c>
      <c r="I318" s="3" t="e">
        <f t="shared" si="14"/>
        <v>#DIV/0!</v>
      </c>
    </row>
    <row r="319" spans="1:9" x14ac:dyDescent="0.55000000000000004">
      <c r="A319" s="1">
        <v>45975</v>
      </c>
      <c r="G319" s="3">
        <f t="shared" si="12"/>
        <v>0</v>
      </c>
      <c r="H319" s="3" t="e">
        <f t="shared" si="13"/>
        <v>#DIV/0!</v>
      </c>
      <c r="I319" s="3" t="e">
        <f t="shared" si="14"/>
        <v>#DIV/0!</v>
      </c>
    </row>
    <row r="320" spans="1:9" x14ac:dyDescent="0.55000000000000004">
      <c r="A320" s="1">
        <v>45976</v>
      </c>
      <c r="G320" s="3">
        <f t="shared" si="12"/>
        <v>0</v>
      </c>
      <c r="H320" s="3" t="e">
        <f t="shared" si="13"/>
        <v>#DIV/0!</v>
      </c>
      <c r="I320" s="3" t="e">
        <f t="shared" si="14"/>
        <v>#DIV/0!</v>
      </c>
    </row>
    <row r="321" spans="1:9" x14ac:dyDescent="0.55000000000000004">
      <c r="A321" s="1">
        <v>45977</v>
      </c>
      <c r="G321" s="3">
        <f t="shared" si="12"/>
        <v>0</v>
      </c>
      <c r="H321" s="3" t="e">
        <f t="shared" si="13"/>
        <v>#DIV/0!</v>
      </c>
      <c r="I321" s="3" t="e">
        <f t="shared" si="14"/>
        <v>#DIV/0!</v>
      </c>
    </row>
    <row r="322" spans="1:9" x14ac:dyDescent="0.55000000000000004">
      <c r="A322" s="1">
        <v>45978</v>
      </c>
      <c r="G322" s="3">
        <f t="shared" ref="G322:G385" si="15">C322+D322+E322+F322</f>
        <v>0</v>
      </c>
      <c r="H322" s="3" t="e">
        <f t="shared" ref="H322:H385" si="16">C322/B322</f>
        <v>#DIV/0!</v>
      </c>
      <c r="I322" s="3" t="e">
        <f t="shared" ref="I322:I385" si="17">G322/B322</f>
        <v>#DIV/0!</v>
      </c>
    </row>
    <row r="323" spans="1:9" x14ac:dyDescent="0.55000000000000004">
      <c r="A323" s="1">
        <v>45979</v>
      </c>
      <c r="G323" s="3">
        <f t="shared" si="15"/>
        <v>0</v>
      </c>
      <c r="H323" s="3" t="e">
        <f t="shared" si="16"/>
        <v>#DIV/0!</v>
      </c>
      <c r="I323" s="3" t="e">
        <f t="shared" si="17"/>
        <v>#DIV/0!</v>
      </c>
    </row>
    <row r="324" spans="1:9" x14ac:dyDescent="0.55000000000000004">
      <c r="A324" s="1">
        <v>45980</v>
      </c>
      <c r="G324" s="3">
        <f t="shared" si="15"/>
        <v>0</v>
      </c>
      <c r="H324" s="3" t="e">
        <f t="shared" si="16"/>
        <v>#DIV/0!</v>
      </c>
      <c r="I324" s="3" t="e">
        <f t="shared" si="17"/>
        <v>#DIV/0!</v>
      </c>
    </row>
    <row r="325" spans="1:9" x14ac:dyDescent="0.55000000000000004">
      <c r="A325" s="1">
        <v>45981</v>
      </c>
      <c r="G325" s="3">
        <f t="shared" si="15"/>
        <v>0</v>
      </c>
      <c r="H325" s="3" t="e">
        <f t="shared" si="16"/>
        <v>#DIV/0!</v>
      </c>
      <c r="I325" s="3" t="e">
        <f t="shared" si="17"/>
        <v>#DIV/0!</v>
      </c>
    </row>
    <row r="326" spans="1:9" x14ac:dyDescent="0.55000000000000004">
      <c r="A326" s="1">
        <v>45982</v>
      </c>
      <c r="G326" s="3">
        <f t="shared" si="15"/>
        <v>0</v>
      </c>
      <c r="H326" s="3" t="e">
        <f t="shared" si="16"/>
        <v>#DIV/0!</v>
      </c>
      <c r="I326" s="3" t="e">
        <f t="shared" si="17"/>
        <v>#DIV/0!</v>
      </c>
    </row>
    <row r="327" spans="1:9" x14ac:dyDescent="0.55000000000000004">
      <c r="A327" s="1">
        <v>45983</v>
      </c>
      <c r="G327" s="3">
        <f t="shared" si="15"/>
        <v>0</v>
      </c>
      <c r="H327" s="3" t="e">
        <f t="shared" si="16"/>
        <v>#DIV/0!</v>
      </c>
      <c r="I327" s="3" t="e">
        <f t="shared" si="17"/>
        <v>#DIV/0!</v>
      </c>
    </row>
    <row r="328" spans="1:9" x14ac:dyDescent="0.55000000000000004">
      <c r="A328" s="1">
        <v>45984</v>
      </c>
      <c r="G328" s="3">
        <f t="shared" si="15"/>
        <v>0</v>
      </c>
      <c r="H328" s="3" t="e">
        <f t="shared" si="16"/>
        <v>#DIV/0!</v>
      </c>
      <c r="I328" s="3" t="e">
        <f t="shared" si="17"/>
        <v>#DIV/0!</v>
      </c>
    </row>
    <row r="329" spans="1:9" x14ac:dyDescent="0.55000000000000004">
      <c r="A329" s="1">
        <v>45985</v>
      </c>
      <c r="G329" s="3">
        <f t="shared" si="15"/>
        <v>0</v>
      </c>
      <c r="H329" s="3" t="e">
        <f t="shared" si="16"/>
        <v>#DIV/0!</v>
      </c>
      <c r="I329" s="3" t="e">
        <f t="shared" si="17"/>
        <v>#DIV/0!</v>
      </c>
    </row>
    <row r="330" spans="1:9" x14ac:dyDescent="0.55000000000000004">
      <c r="A330" s="1">
        <v>45986</v>
      </c>
      <c r="G330" s="3">
        <f t="shared" si="15"/>
        <v>0</v>
      </c>
      <c r="H330" s="3" t="e">
        <f t="shared" si="16"/>
        <v>#DIV/0!</v>
      </c>
      <c r="I330" s="3" t="e">
        <f t="shared" si="17"/>
        <v>#DIV/0!</v>
      </c>
    </row>
    <row r="331" spans="1:9" x14ac:dyDescent="0.55000000000000004">
      <c r="A331" s="1">
        <v>45987</v>
      </c>
      <c r="G331" s="3">
        <f t="shared" si="15"/>
        <v>0</v>
      </c>
      <c r="H331" s="3" t="e">
        <f t="shared" si="16"/>
        <v>#DIV/0!</v>
      </c>
      <c r="I331" s="3" t="e">
        <f t="shared" si="17"/>
        <v>#DIV/0!</v>
      </c>
    </row>
    <row r="332" spans="1:9" x14ac:dyDescent="0.55000000000000004">
      <c r="A332" s="1">
        <v>45988</v>
      </c>
      <c r="G332" s="3">
        <f t="shared" si="15"/>
        <v>0</v>
      </c>
      <c r="H332" s="3" t="e">
        <f t="shared" si="16"/>
        <v>#DIV/0!</v>
      </c>
      <c r="I332" s="3" t="e">
        <f t="shared" si="17"/>
        <v>#DIV/0!</v>
      </c>
    </row>
    <row r="333" spans="1:9" x14ac:dyDescent="0.55000000000000004">
      <c r="A333" s="1">
        <v>45989</v>
      </c>
      <c r="B333" s="2">
        <v>1</v>
      </c>
      <c r="C333" s="2">
        <v>320</v>
      </c>
      <c r="G333" s="3">
        <f t="shared" si="15"/>
        <v>320</v>
      </c>
      <c r="H333" s="3">
        <f t="shared" si="16"/>
        <v>320</v>
      </c>
      <c r="I333" s="3">
        <f t="shared" si="17"/>
        <v>320</v>
      </c>
    </row>
    <row r="334" spans="1:9" x14ac:dyDescent="0.55000000000000004">
      <c r="A334" s="1">
        <v>45990</v>
      </c>
      <c r="G334" s="3">
        <f t="shared" si="15"/>
        <v>0</v>
      </c>
      <c r="H334" s="3" t="e">
        <f t="shared" si="16"/>
        <v>#DIV/0!</v>
      </c>
      <c r="I334" s="3" t="e">
        <f t="shared" si="17"/>
        <v>#DIV/0!</v>
      </c>
    </row>
    <row r="335" spans="1:9" x14ac:dyDescent="0.55000000000000004">
      <c r="A335" s="1">
        <v>45991</v>
      </c>
      <c r="G335" s="3">
        <f t="shared" si="15"/>
        <v>0</v>
      </c>
      <c r="H335" s="3" t="e">
        <f t="shared" si="16"/>
        <v>#DIV/0!</v>
      </c>
      <c r="I335" s="3" t="e">
        <f t="shared" si="17"/>
        <v>#DIV/0!</v>
      </c>
    </row>
    <row r="336" spans="1:9" x14ac:dyDescent="0.55000000000000004">
      <c r="A336" s="1">
        <v>45992</v>
      </c>
      <c r="G336" s="3">
        <f t="shared" si="15"/>
        <v>0</v>
      </c>
      <c r="H336" s="3" t="e">
        <f t="shared" si="16"/>
        <v>#DIV/0!</v>
      </c>
      <c r="I336" s="3" t="e">
        <f t="shared" si="17"/>
        <v>#DIV/0!</v>
      </c>
    </row>
    <row r="337" spans="1:9" x14ac:dyDescent="0.55000000000000004">
      <c r="A337" s="1">
        <v>45993</v>
      </c>
      <c r="B337" s="2">
        <v>28</v>
      </c>
      <c r="C337" s="2">
        <v>13097</v>
      </c>
      <c r="D337" s="2">
        <v>2000</v>
      </c>
      <c r="F337" s="2">
        <v>128</v>
      </c>
      <c r="G337" s="3">
        <f t="shared" si="15"/>
        <v>15225</v>
      </c>
      <c r="H337" s="3">
        <f t="shared" si="16"/>
        <v>467.75</v>
      </c>
      <c r="I337" s="3">
        <f t="shared" si="17"/>
        <v>543.75</v>
      </c>
    </row>
    <row r="338" spans="1:9" x14ac:dyDescent="0.55000000000000004">
      <c r="A338" s="1">
        <v>45994</v>
      </c>
      <c r="G338" s="3">
        <f t="shared" si="15"/>
        <v>0</v>
      </c>
      <c r="H338" s="3" t="e">
        <f t="shared" si="16"/>
        <v>#DIV/0!</v>
      </c>
      <c r="I338" s="3" t="e">
        <f t="shared" si="17"/>
        <v>#DIV/0!</v>
      </c>
    </row>
    <row r="339" spans="1:9" x14ac:dyDescent="0.55000000000000004">
      <c r="A339" s="1">
        <v>45995</v>
      </c>
      <c r="B339" s="2">
        <v>17</v>
      </c>
      <c r="C339" s="2">
        <v>12953</v>
      </c>
      <c r="D339" s="2">
        <v>2050</v>
      </c>
      <c r="G339" s="3">
        <f t="shared" si="15"/>
        <v>15003</v>
      </c>
      <c r="H339" s="3">
        <f t="shared" si="16"/>
        <v>761.94117647058829</v>
      </c>
      <c r="I339" s="3">
        <f t="shared" si="17"/>
        <v>882.52941176470586</v>
      </c>
    </row>
    <row r="340" spans="1:9" x14ac:dyDescent="0.55000000000000004">
      <c r="A340" s="1">
        <v>45996</v>
      </c>
      <c r="B340" s="2">
        <v>19</v>
      </c>
      <c r="C340" s="2">
        <v>9136</v>
      </c>
      <c r="D340" s="2">
        <v>1125</v>
      </c>
      <c r="F340" s="2">
        <v>1040</v>
      </c>
      <c r="G340" s="3">
        <f t="shared" si="15"/>
        <v>11301</v>
      </c>
      <c r="H340" s="3">
        <f t="shared" si="16"/>
        <v>480.84210526315792</v>
      </c>
      <c r="I340" s="3">
        <f t="shared" si="17"/>
        <v>594.78947368421052</v>
      </c>
    </row>
    <row r="341" spans="1:9" x14ac:dyDescent="0.55000000000000004">
      <c r="A341" s="1">
        <v>45997</v>
      </c>
      <c r="G341" s="3">
        <f t="shared" si="15"/>
        <v>0</v>
      </c>
      <c r="H341" s="3" t="e">
        <f t="shared" si="16"/>
        <v>#DIV/0!</v>
      </c>
      <c r="I341" s="3" t="e">
        <f t="shared" si="17"/>
        <v>#DIV/0!</v>
      </c>
    </row>
    <row r="342" spans="1:9" x14ac:dyDescent="0.55000000000000004">
      <c r="A342" s="1">
        <v>45998</v>
      </c>
      <c r="G342" s="3">
        <f t="shared" si="15"/>
        <v>0</v>
      </c>
      <c r="H342" s="3" t="e">
        <f t="shared" si="16"/>
        <v>#DIV/0!</v>
      </c>
      <c r="I342" s="3" t="e">
        <f t="shared" si="17"/>
        <v>#DIV/0!</v>
      </c>
    </row>
    <row r="343" spans="1:9" x14ac:dyDescent="0.55000000000000004">
      <c r="A343" s="1">
        <v>45999</v>
      </c>
      <c r="G343" s="3">
        <f t="shared" si="15"/>
        <v>0</v>
      </c>
      <c r="H343" s="3" t="e">
        <f t="shared" si="16"/>
        <v>#DIV/0!</v>
      </c>
      <c r="I343" s="3" t="e">
        <f t="shared" si="17"/>
        <v>#DIV/0!</v>
      </c>
    </row>
    <row r="344" spans="1:9" x14ac:dyDescent="0.55000000000000004">
      <c r="A344" s="1">
        <v>46000</v>
      </c>
      <c r="G344" s="3">
        <f t="shared" si="15"/>
        <v>0</v>
      </c>
      <c r="H344" s="3" t="e">
        <f t="shared" si="16"/>
        <v>#DIV/0!</v>
      </c>
      <c r="I344" s="3" t="e">
        <f t="shared" si="17"/>
        <v>#DIV/0!</v>
      </c>
    </row>
    <row r="345" spans="1:9" x14ac:dyDescent="0.55000000000000004">
      <c r="A345" s="1">
        <v>46001</v>
      </c>
      <c r="G345" s="3">
        <f t="shared" si="15"/>
        <v>0</v>
      </c>
      <c r="H345" s="3" t="e">
        <f t="shared" si="16"/>
        <v>#DIV/0!</v>
      </c>
      <c r="I345" s="3" t="e">
        <f t="shared" si="17"/>
        <v>#DIV/0!</v>
      </c>
    </row>
    <row r="346" spans="1:9" x14ac:dyDescent="0.55000000000000004">
      <c r="A346" s="1">
        <v>46002</v>
      </c>
      <c r="G346" s="3">
        <f t="shared" si="15"/>
        <v>0</v>
      </c>
      <c r="H346" s="3" t="e">
        <f t="shared" si="16"/>
        <v>#DIV/0!</v>
      </c>
      <c r="I346" s="3" t="e">
        <f t="shared" si="17"/>
        <v>#DIV/0!</v>
      </c>
    </row>
    <row r="347" spans="1:9" x14ac:dyDescent="0.55000000000000004">
      <c r="A347" s="1">
        <v>46003</v>
      </c>
      <c r="G347" s="3">
        <f t="shared" si="15"/>
        <v>0</v>
      </c>
      <c r="H347" s="3" t="e">
        <f t="shared" si="16"/>
        <v>#DIV/0!</v>
      </c>
      <c r="I347" s="3" t="e">
        <f t="shared" si="17"/>
        <v>#DIV/0!</v>
      </c>
    </row>
    <row r="348" spans="1:9" x14ac:dyDescent="0.55000000000000004">
      <c r="A348" s="1">
        <v>46004</v>
      </c>
      <c r="G348" s="3">
        <f t="shared" si="15"/>
        <v>0</v>
      </c>
      <c r="H348" s="3" t="e">
        <f t="shared" si="16"/>
        <v>#DIV/0!</v>
      </c>
      <c r="I348" s="3" t="e">
        <f t="shared" si="17"/>
        <v>#DIV/0!</v>
      </c>
    </row>
    <row r="349" spans="1:9" x14ac:dyDescent="0.55000000000000004">
      <c r="A349" s="1">
        <v>46005</v>
      </c>
      <c r="G349" s="3">
        <f t="shared" si="15"/>
        <v>0</v>
      </c>
      <c r="H349" s="3" t="e">
        <f t="shared" si="16"/>
        <v>#DIV/0!</v>
      </c>
      <c r="I349" s="3" t="e">
        <f t="shared" si="17"/>
        <v>#DIV/0!</v>
      </c>
    </row>
    <row r="350" spans="1:9" x14ac:dyDescent="0.55000000000000004">
      <c r="A350" s="1">
        <v>46006</v>
      </c>
      <c r="B350" s="2">
        <v>30</v>
      </c>
      <c r="C350" s="2">
        <v>14821</v>
      </c>
      <c r="G350" s="3">
        <f t="shared" si="15"/>
        <v>14821</v>
      </c>
      <c r="H350" s="3">
        <f t="shared" si="16"/>
        <v>494.03333333333336</v>
      </c>
      <c r="I350" s="3">
        <f t="shared" si="17"/>
        <v>494.03333333333336</v>
      </c>
    </row>
    <row r="351" spans="1:9" x14ac:dyDescent="0.55000000000000004">
      <c r="A351" s="1">
        <v>46007</v>
      </c>
      <c r="B351" s="2">
        <v>32</v>
      </c>
      <c r="C351" s="2">
        <v>13383</v>
      </c>
      <c r="D351" s="2">
        <v>4675</v>
      </c>
      <c r="F351" s="2">
        <v>370</v>
      </c>
      <c r="G351" s="3">
        <f t="shared" si="15"/>
        <v>18428</v>
      </c>
      <c r="H351" s="3">
        <f t="shared" si="16"/>
        <v>418.21875</v>
      </c>
      <c r="I351" s="3">
        <f t="shared" si="17"/>
        <v>575.875</v>
      </c>
    </row>
    <row r="352" spans="1:9" x14ac:dyDescent="0.55000000000000004">
      <c r="A352" s="1">
        <v>46008</v>
      </c>
      <c r="B352" s="2">
        <v>30</v>
      </c>
      <c r="C352" s="2">
        <v>12656</v>
      </c>
      <c r="D352" s="2">
        <v>3825</v>
      </c>
      <c r="G352" s="3">
        <f t="shared" si="15"/>
        <v>16481</v>
      </c>
      <c r="H352" s="3">
        <f t="shared" si="16"/>
        <v>421.86666666666667</v>
      </c>
      <c r="I352" s="3">
        <f t="shared" si="17"/>
        <v>549.36666666666667</v>
      </c>
    </row>
    <row r="353" spans="1:9" x14ac:dyDescent="0.55000000000000004">
      <c r="A353" s="1">
        <v>46009</v>
      </c>
      <c r="B353" s="2">
        <v>9</v>
      </c>
      <c r="C353" s="2">
        <v>4332</v>
      </c>
      <c r="D353" s="2">
        <v>900</v>
      </c>
      <c r="G353" s="3">
        <f t="shared" si="15"/>
        <v>5232</v>
      </c>
      <c r="H353" s="3">
        <f t="shared" si="16"/>
        <v>481.33333333333331</v>
      </c>
      <c r="I353" s="3">
        <f t="shared" si="17"/>
        <v>581.33333333333337</v>
      </c>
    </row>
    <row r="354" spans="1:9" x14ac:dyDescent="0.55000000000000004">
      <c r="A354" s="1">
        <v>46010</v>
      </c>
      <c r="B354" s="2">
        <v>27</v>
      </c>
      <c r="C354" s="2">
        <v>10926</v>
      </c>
      <c r="D354" s="2">
        <v>2000</v>
      </c>
      <c r="F354" s="2">
        <v>126</v>
      </c>
      <c r="G354" s="3">
        <f t="shared" si="15"/>
        <v>13052</v>
      </c>
      <c r="H354" s="3">
        <f t="shared" si="16"/>
        <v>404.66666666666669</v>
      </c>
      <c r="I354" s="3">
        <f t="shared" si="17"/>
        <v>483.40740740740739</v>
      </c>
    </row>
    <row r="355" spans="1:9" x14ac:dyDescent="0.55000000000000004">
      <c r="A355" s="1">
        <v>46011</v>
      </c>
      <c r="G355" s="3">
        <f t="shared" si="15"/>
        <v>0</v>
      </c>
      <c r="H355" s="3" t="e">
        <f t="shared" si="16"/>
        <v>#DIV/0!</v>
      </c>
      <c r="I355" s="3" t="e">
        <f t="shared" si="17"/>
        <v>#DIV/0!</v>
      </c>
    </row>
    <row r="356" spans="1:9" x14ac:dyDescent="0.55000000000000004">
      <c r="A356" s="1">
        <v>46012</v>
      </c>
      <c r="G356" s="3">
        <f t="shared" si="15"/>
        <v>0</v>
      </c>
      <c r="H356" s="3" t="e">
        <f t="shared" si="16"/>
        <v>#DIV/0!</v>
      </c>
      <c r="I356" s="3" t="e">
        <f t="shared" si="17"/>
        <v>#DIV/0!</v>
      </c>
    </row>
    <row r="357" spans="1:9" x14ac:dyDescent="0.55000000000000004">
      <c r="A357" s="1">
        <v>46013</v>
      </c>
      <c r="G357" s="3">
        <f t="shared" si="15"/>
        <v>0</v>
      </c>
      <c r="H357" s="3" t="e">
        <f t="shared" si="16"/>
        <v>#DIV/0!</v>
      </c>
      <c r="I357" s="3" t="e">
        <f t="shared" si="17"/>
        <v>#DIV/0!</v>
      </c>
    </row>
    <row r="358" spans="1:9" x14ac:dyDescent="0.55000000000000004">
      <c r="A358" s="1">
        <v>46014</v>
      </c>
      <c r="G358" s="3">
        <f t="shared" si="15"/>
        <v>0</v>
      </c>
      <c r="H358" s="3" t="e">
        <f t="shared" si="16"/>
        <v>#DIV/0!</v>
      </c>
      <c r="I358" s="3" t="e">
        <f t="shared" si="17"/>
        <v>#DIV/0!</v>
      </c>
    </row>
    <row r="359" spans="1:9" x14ac:dyDescent="0.55000000000000004">
      <c r="A359" s="1">
        <v>46015</v>
      </c>
      <c r="G359" s="3">
        <f t="shared" si="15"/>
        <v>0</v>
      </c>
      <c r="H359" s="3" t="e">
        <f t="shared" si="16"/>
        <v>#DIV/0!</v>
      </c>
      <c r="I359" s="3" t="e">
        <f t="shared" si="17"/>
        <v>#DIV/0!</v>
      </c>
    </row>
    <row r="360" spans="1:9" x14ac:dyDescent="0.55000000000000004">
      <c r="A360" s="1">
        <v>46016</v>
      </c>
      <c r="G360" s="3">
        <f t="shared" si="15"/>
        <v>0</v>
      </c>
      <c r="H360" s="3" t="e">
        <f t="shared" si="16"/>
        <v>#DIV/0!</v>
      </c>
      <c r="I360" s="3" t="e">
        <f t="shared" si="17"/>
        <v>#DIV/0!</v>
      </c>
    </row>
    <row r="361" spans="1:9" x14ac:dyDescent="0.55000000000000004">
      <c r="A361" s="1">
        <v>46017</v>
      </c>
      <c r="B361" s="2">
        <v>31</v>
      </c>
      <c r="C361" s="2">
        <v>20492</v>
      </c>
      <c r="D361" s="2">
        <v>2500</v>
      </c>
      <c r="F361" s="2">
        <v>596</v>
      </c>
      <c r="G361" s="3">
        <f t="shared" si="15"/>
        <v>23588</v>
      </c>
      <c r="H361" s="3">
        <f t="shared" si="16"/>
        <v>661.0322580645161</v>
      </c>
      <c r="I361" s="3">
        <f t="shared" si="17"/>
        <v>760.90322580645159</v>
      </c>
    </row>
    <row r="362" spans="1:9" x14ac:dyDescent="0.55000000000000004">
      <c r="A362" s="1">
        <v>46018</v>
      </c>
      <c r="B362" s="2">
        <v>9</v>
      </c>
      <c r="C362" s="2">
        <v>2912</v>
      </c>
      <c r="D362" s="2">
        <v>900</v>
      </c>
      <c r="G362" s="3">
        <f t="shared" si="15"/>
        <v>3812</v>
      </c>
      <c r="H362" s="3">
        <f t="shared" si="16"/>
        <v>323.55555555555554</v>
      </c>
      <c r="I362" s="3">
        <f t="shared" si="17"/>
        <v>423.55555555555554</v>
      </c>
    </row>
    <row r="363" spans="1:9" x14ac:dyDescent="0.55000000000000004">
      <c r="A363" s="1">
        <v>46019</v>
      </c>
      <c r="G363" s="3">
        <f t="shared" si="15"/>
        <v>0</v>
      </c>
      <c r="H363" s="3" t="e">
        <f t="shared" si="16"/>
        <v>#DIV/0!</v>
      </c>
      <c r="I363" s="3" t="e">
        <f t="shared" si="17"/>
        <v>#DIV/0!</v>
      </c>
    </row>
    <row r="364" spans="1:9" x14ac:dyDescent="0.55000000000000004">
      <c r="A364" s="1">
        <v>46020</v>
      </c>
      <c r="G364" s="3">
        <f t="shared" si="15"/>
        <v>0</v>
      </c>
      <c r="H364" s="3" t="e">
        <f t="shared" si="16"/>
        <v>#DIV/0!</v>
      </c>
      <c r="I364" s="3" t="e">
        <f t="shared" si="17"/>
        <v>#DIV/0!</v>
      </c>
    </row>
    <row r="365" spans="1:9" x14ac:dyDescent="0.55000000000000004">
      <c r="A365" s="1">
        <v>46021</v>
      </c>
      <c r="B365" s="2">
        <v>30</v>
      </c>
      <c r="C365" s="2">
        <v>14023</v>
      </c>
      <c r="G365" s="3">
        <f t="shared" si="15"/>
        <v>14023</v>
      </c>
      <c r="H365" s="3">
        <f t="shared" si="16"/>
        <v>467.43333333333334</v>
      </c>
      <c r="I365" s="3">
        <f t="shared" si="17"/>
        <v>467.43333333333334</v>
      </c>
    </row>
    <row r="366" spans="1:9" x14ac:dyDescent="0.55000000000000004">
      <c r="A366" s="1">
        <v>46022</v>
      </c>
      <c r="B366" s="2">
        <v>30</v>
      </c>
      <c r="C366" s="2">
        <v>15754</v>
      </c>
      <c r="D366" s="2">
        <v>4675</v>
      </c>
      <c r="E366" s="2">
        <v>200</v>
      </c>
      <c r="F366" s="2">
        <v>81</v>
      </c>
      <c r="G366" s="3">
        <f t="shared" si="15"/>
        <v>20710</v>
      </c>
      <c r="H366" s="3">
        <f t="shared" si="16"/>
        <v>525.13333333333333</v>
      </c>
      <c r="I366" s="3">
        <f t="shared" si="17"/>
        <v>690.33333333333337</v>
      </c>
    </row>
    <row r="367" spans="1:9" x14ac:dyDescent="0.55000000000000004">
      <c r="A367" s="1">
        <v>46023</v>
      </c>
      <c r="B367" s="2">
        <v>27</v>
      </c>
      <c r="C367" s="2">
        <v>14958</v>
      </c>
      <c r="D367" s="2">
        <v>6825</v>
      </c>
      <c r="G367" s="3">
        <f t="shared" si="15"/>
        <v>21783</v>
      </c>
      <c r="H367" s="3">
        <f t="shared" si="16"/>
        <v>554</v>
      </c>
      <c r="I367" s="3">
        <f t="shared" si="17"/>
        <v>806.77777777777783</v>
      </c>
    </row>
    <row r="368" spans="1:9" x14ac:dyDescent="0.55000000000000004">
      <c r="A368" s="1">
        <v>46024</v>
      </c>
      <c r="B368" s="2">
        <v>26</v>
      </c>
      <c r="C368" s="2">
        <v>12571</v>
      </c>
      <c r="D368" s="2">
        <v>1100</v>
      </c>
      <c r="G368" s="3">
        <f t="shared" si="15"/>
        <v>13671</v>
      </c>
      <c r="H368" s="3">
        <f t="shared" si="16"/>
        <v>483.5</v>
      </c>
      <c r="I368" s="3">
        <f t="shared" si="17"/>
        <v>525.80769230769226</v>
      </c>
    </row>
    <row r="369" spans="1:9" x14ac:dyDescent="0.55000000000000004">
      <c r="A369" s="1">
        <v>46025</v>
      </c>
      <c r="B369" s="2">
        <v>30</v>
      </c>
      <c r="C369" s="2">
        <v>15864</v>
      </c>
      <c r="D369" s="2">
        <v>7850</v>
      </c>
      <c r="E369" s="2">
        <v>173</v>
      </c>
      <c r="F369" s="2">
        <v>370</v>
      </c>
      <c r="G369" s="3">
        <f t="shared" si="15"/>
        <v>24257</v>
      </c>
      <c r="H369" s="3">
        <f t="shared" si="16"/>
        <v>528.79999999999995</v>
      </c>
      <c r="I369" s="3">
        <f t="shared" si="17"/>
        <v>808.56666666666672</v>
      </c>
    </row>
    <row r="370" spans="1:9" x14ac:dyDescent="0.55000000000000004">
      <c r="A370" s="1">
        <v>46026</v>
      </c>
      <c r="B370" s="2">
        <v>33</v>
      </c>
      <c r="C370" s="2">
        <v>14810</v>
      </c>
      <c r="D370" s="2">
        <v>7350</v>
      </c>
      <c r="G370" s="3">
        <f t="shared" si="15"/>
        <v>22160</v>
      </c>
      <c r="H370" s="3">
        <f t="shared" si="16"/>
        <v>448.78787878787881</v>
      </c>
      <c r="I370" s="3">
        <f t="shared" si="17"/>
        <v>671.5151515151515</v>
      </c>
    </row>
    <row r="371" spans="1:9" x14ac:dyDescent="0.55000000000000004">
      <c r="A371" s="1">
        <v>46027</v>
      </c>
      <c r="G371" s="3">
        <f t="shared" si="15"/>
        <v>0</v>
      </c>
      <c r="H371" s="3" t="e">
        <f t="shared" si="16"/>
        <v>#DIV/0!</v>
      </c>
      <c r="I371" s="3" t="e">
        <f t="shared" si="17"/>
        <v>#DIV/0!</v>
      </c>
    </row>
    <row r="372" spans="1:9" x14ac:dyDescent="0.55000000000000004">
      <c r="A372" s="1">
        <v>46028</v>
      </c>
      <c r="G372" s="3">
        <f t="shared" si="15"/>
        <v>0</v>
      </c>
      <c r="H372" s="3" t="e">
        <f t="shared" si="16"/>
        <v>#DIV/0!</v>
      </c>
      <c r="I372" s="3" t="e">
        <f t="shared" si="17"/>
        <v>#DIV/0!</v>
      </c>
    </row>
    <row r="373" spans="1:9" x14ac:dyDescent="0.55000000000000004">
      <c r="A373" s="1">
        <v>46029</v>
      </c>
      <c r="B373" s="2">
        <v>30</v>
      </c>
      <c r="C373" s="2">
        <v>14758</v>
      </c>
      <c r="D373" s="2">
        <v>3200</v>
      </c>
      <c r="F373" s="2">
        <v>155</v>
      </c>
      <c r="G373" s="3">
        <f t="shared" si="15"/>
        <v>18113</v>
      </c>
      <c r="H373" s="3">
        <f t="shared" si="16"/>
        <v>491.93333333333334</v>
      </c>
      <c r="I373" s="3">
        <f t="shared" si="17"/>
        <v>603.76666666666665</v>
      </c>
    </row>
    <row r="374" spans="1:9" x14ac:dyDescent="0.55000000000000004">
      <c r="A374" s="1">
        <v>46030</v>
      </c>
      <c r="G374" s="3">
        <f t="shared" si="15"/>
        <v>0</v>
      </c>
      <c r="H374" s="3" t="e">
        <f t="shared" si="16"/>
        <v>#DIV/0!</v>
      </c>
      <c r="I374" s="3" t="e">
        <f t="shared" si="17"/>
        <v>#DIV/0!</v>
      </c>
    </row>
    <row r="375" spans="1:9" x14ac:dyDescent="0.55000000000000004">
      <c r="A375" s="1">
        <v>46031</v>
      </c>
      <c r="G375" s="3">
        <f t="shared" si="15"/>
        <v>0</v>
      </c>
      <c r="H375" s="3" t="e">
        <f t="shared" si="16"/>
        <v>#DIV/0!</v>
      </c>
      <c r="I375" s="3" t="e">
        <f t="shared" si="17"/>
        <v>#DIV/0!</v>
      </c>
    </row>
    <row r="376" spans="1:9" x14ac:dyDescent="0.55000000000000004">
      <c r="A376" s="1">
        <v>46032</v>
      </c>
      <c r="B376" s="2">
        <v>32</v>
      </c>
      <c r="C376" s="2">
        <v>15154</v>
      </c>
      <c r="D376" s="2">
        <v>3200</v>
      </c>
      <c r="G376" s="3">
        <f t="shared" si="15"/>
        <v>18354</v>
      </c>
      <c r="H376" s="3">
        <f t="shared" si="16"/>
        <v>473.5625</v>
      </c>
      <c r="I376" s="3">
        <f t="shared" si="17"/>
        <v>573.5625</v>
      </c>
    </row>
    <row r="377" spans="1:9" x14ac:dyDescent="0.55000000000000004">
      <c r="A377" s="1">
        <v>46033</v>
      </c>
      <c r="G377" s="3">
        <f t="shared" si="15"/>
        <v>0</v>
      </c>
      <c r="H377" s="3" t="e">
        <f t="shared" si="16"/>
        <v>#DIV/0!</v>
      </c>
      <c r="I377" s="3" t="e">
        <f t="shared" si="17"/>
        <v>#DIV/0!</v>
      </c>
    </row>
    <row r="378" spans="1:9" x14ac:dyDescent="0.55000000000000004">
      <c r="A378" s="1">
        <v>46034</v>
      </c>
      <c r="G378" s="3">
        <f t="shared" si="15"/>
        <v>0</v>
      </c>
      <c r="H378" s="3" t="e">
        <f t="shared" si="16"/>
        <v>#DIV/0!</v>
      </c>
      <c r="I378" s="3" t="e">
        <f t="shared" si="17"/>
        <v>#DIV/0!</v>
      </c>
    </row>
    <row r="379" spans="1:9" x14ac:dyDescent="0.55000000000000004">
      <c r="A379" s="1">
        <v>46035</v>
      </c>
      <c r="G379" s="3">
        <f t="shared" si="15"/>
        <v>0</v>
      </c>
      <c r="H379" s="3" t="e">
        <f t="shared" si="16"/>
        <v>#DIV/0!</v>
      </c>
      <c r="I379" s="3" t="e">
        <f t="shared" si="17"/>
        <v>#DIV/0!</v>
      </c>
    </row>
    <row r="380" spans="1:9" x14ac:dyDescent="0.55000000000000004">
      <c r="A380" s="1">
        <v>46036</v>
      </c>
      <c r="B380" s="2">
        <v>32</v>
      </c>
      <c r="C380" s="2">
        <v>15161</v>
      </c>
      <c r="D380" s="2">
        <v>1500</v>
      </c>
      <c r="F380" s="2">
        <v>205</v>
      </c>
      <c r="G380" s="3">
        <f t="shared" si="15"/>
        <v>16866</v>
      </c>
      <c r="H380" s="3">
        <f t="shared" si="16"/>
        <v>473.78125</v>
      </c>
      <c r="I380" s="3">
        <f t="shared" si="17"/>
        <v>527.0625</v>
      </c>
    </row>
    <row r="381" spans="1:9" x14ac:dyDescent="0.55000000000000004">
      <c r="A381" s="1">
        <v>46037</v>
      </c>
      <c r="G381" s="3">
        <f t="shared" si="15"/>
        <v>0</v>
      </c>
      <c r="H381" s="3" t="e">
        <f t="shared" si="16"/>
        <v>#DIV/0!</v>
      </c>
      <c r="I381" s="3" t="e">
        <f t="shared" si="17"/>
        <v>#DIV/0!</v>
      </c>
    </row>
    <row r="382" spans="1:9" x14ac:dyDescent="0.55000000000000004">
      <c r="A382" s="1">
        <v>46038</v>
      </c>
      <c r="B382" s="2">
        <v>30</v>
      </c>
      <c r="C382" s="2">
        <v>13708</v>
      </c>
      <c r="G382" s="3">
        <f t="shared" si="15"/>
        <v>13708</v>
      </c>
      <c r="H382" s="3">
        <f t="shared" si="16"/>
        <v>456.93333333333334</v>
      </c>
      <c r="I382" s="3">
        <f t="shared" si="17"/>
        <v>456.93333333333334</v>
      </c>
    </row>
    <row r="383" spans="1:9" x14ac:dyDescent="0.55000000000000004">
      <c r="A383" s="1">
        <v>46039</v>
      </c>
      <c r="B383" s="2">
        <v>30</v>
      </c>
      <c r="C383" s="2">
        <v>13774</v>
      </c>
      <c r="D383" s="2">
        <v>6900</v>
      </c>
      <c r="F383" s="2">
        <v>464</v>
      </c>
      <c r="G383" s="3">
        <f t="shared" si="15"/>
        <v>21138</v>
      </c>
      <c r="H383" s="3">
        <f t="shared" si="16"/>
        <v>459.13333333333333</v>
      </c>
      <c r="I383" s="3">
        <f t="shared" si="17"/>
        <v>704.6</v>
      </c>
    </row>
    <row r="384" spans="1:9" x14ac:dyDescent="0.55000000000000004">
      <c r="A384" s="1">
        <v>46040</v>
      </c>
      <c r="G384" s="3">
        <f t="shared" si="15"/>
        <v>0</v>
      </c>
      <c r="H384" s="3" t="e">
        <f t="shared" si="16"/>
        <v>#DIV/0!</v>
      </c>
      <c r="I384" s="3" t="e">
        <f t="shared" si="17"/>
        <v>#DIV/0!</v>
      </c>
    </row>
    <row r="385" spans="1:9" x14ac:dyDescent="0.55000000000000004">
      <c r="A385" s="1">
        <v>46041</v>
      </c>
      <c r="G385" s="3">
        <f t="shared" si="15"/>
        <v>0</v>
      </c>
      <c r="H385" s="3" t="e">
        <f t="shared" si="16"/>
        <v>#DIV/0!</v>
      </c>
      <c r="I385" s="3" t="e">
        <f t="shared" si="17"/>
        <v>#DIV/0!</v>
      </c>
    </row>
    <row r="386" spans="1:9" x14ac:dyDescent="0.55000000000000004">
      <c r="A386" s="1">
        <v>46042</v>
      </c>
      <c r="G386" s="3">
        <f t="shared" ref="G386:G397" si="18">C386+D386+E386+F386</f>
        <v>0</v>
      </c>
      <c r="H386" s="3" t="e">
        <f t="shared" ref="H386:H397" si="19">C386/B386</f>
        <v>#DIV/0!</v>
      </c>
      <c r="I386" s="3" t="e">
        <f t="shared" ref="I386:I397" si="20">G386/B386</f>
        <v>#DIV/0!</v>
      </c>
    </row>
    <row r="387" spans="1:9" x14ac:dyDescent="0.55000000000000004">
      <c r="A387" s="1">
        <v>46043</v>
      </c>
      <c r="G387" s="3">
        <f t="shared" si="18"/>
        <v>0</v>
      </c>
      <c r="H387" s="3" t="e">
        <f t="shared" si="19"/>
        <v>#DIV/0!</v>
      </c>
      <c r="I387" s="3" t="e">
        <f t="shared" si="20"/>
        <v>#DIV/0!</v>
      </c>
    </row>
    <row r="388" spans="1:9" x14ac:dyDescent="0.55000000000000004">
      <c r="A388" s="1">
        <v>46044</v>
      </c>
      <c r="G388" s="3">
        <f t="shared" si="18"/>
        <v>0</v>
      </c>
      <c r="H388" s="3" t="e">
        <f t="shared" si="19"/>
        <v>#DIV/0!</v>
      </c>
      <c r="I388" s="3" t="e">
        <f t="shared" si="20"/>
        <v>#DIV/0!</v>
      </c>
    </row>
    <row r="389" spans="1:9" x14ac:dyDescent="0.55000000000000004">
      <c r="A389" s="1">
        <v>46045</v>
      </c>
      <c r="B389" s="2">
        <v>17</v>
      </c>
      <c r="C389" s="2">
        <v>9130</v>
      </c>
      <c r="G389" s="3">
        <f t="shared" si="18"/>
        <v>9130</v>
      </c>
      <c r="H389" s="3">
        <f t="shared" si="19"/>
        <v>537.05882352941171</v>
      </c>
      <c r="I389" s="3">
        <f t="shared" si="20"/>
        <v>537.05882352941171</v>
      </c>
    </row>
    <row r="390" spans="1:9" x14ac:dyDescent="0.55000000000000004">
      <c r="A390" s="1">
        <v>46046</v>
      </c>
      <c r="G390" s="3">
        <f t="shared" si="18"/>
        <v>0</v>
      </c>
      <c r="H390" s="3" t="e">
        <f t="shared" si="19"/>
        <v>#DIV/0!</v>
      </c>
      <c r="I390" s="3" t="e">
        <f t="shared" si="20"/>
        <v>#DIV/0!</v>
      </c>
    </row>
    <row r="391" spans="1:9" x14ac:dyDescent="0.55000000000000004">
      <c r="A391" s="1">
        <v>46047</v>
      </c>
      <c r="G391" s="3">
        <f t="shared" si="18"/>
        <v>0</v>
      </c>
      <c r="H391" s="3" t="e">
        <f t="shared" si="19"/>
        <v>#DIV/0!</v>
      </c>
      <c r="I391" s="3" t="e">
        <f t="shared" si="20"/>
        <v>#DIV/0!</v>
      </c>
    </row>
    <row r="392" spans="1:9" x14ac:dyDescent="0.55000000000000004">
      <c r="A392" s="1">
        <v>46048</v>
      </c>
      <c r="G392" s="3">
        <f t="shared" si="18"/>
        <v>0</v>
      </c>
      <c r="H392" s="3" t="e">
        <f t="shared" si="19"/>
        <v>#DIV/0!</v>
      </c>
      <c r="I392" s="3" t="e">
        <f t="shared" si="20"/>
        <v>#DIV/0!</v>
      </c>
    </row>
    <row r="393" spans="1:9" x14ac:dyDescent="0.55000000000000004">
      <c r="A393" s="1">
        <v>46049</v>
      </c>
      <c r="G393" s="3">
        <f t="shared" si="18"/>
        <v>0</v>
      </c>
      <c r="H393" s="3" t="e">
        <f t="shared" si="19"/>
        <v>#DIV/0!</v>
      </c>
      <c r="I393" s="3" t="e">
        <f t="shared" si="20"/>
        <v>#DIV/0!</v>
      </c>
    </row>
    <row r="394" spans="1:9" x14ac:dyDescent="0.55000000000000004">
      <c r="A394" s="1">
        <v>46050</v>
      </c>
      <c r="G394" s="3">
        <f t="shared" si="18"/>
        <v>0</v>
      </c>
      <c r="H394" s="3" t="e">
        <f t="shared" si="19"/>
        <v>#DIV/0!</v>
      </c>
      <c r="I394" s="3" t="e">
        <f t="shared" si="20"/>
        <v>#DIV/0!</v>
      </c>
    </row>
    <row r="395" spans="1:9" x14ac:dyDescent="0.55000000000000004">
      <c r="A395" s="1">
        <v>46051</v>
      </c>
      <c r="G395" s="3">
        <f t="shared" si="18"/>
        <v>0</v>
      </c>
      <c r="H395" s="3" t="e">
        <f t="shared" si="19"/>
        <v>#DIV/0!</v>
      </c>
      <c r="I395" s="3" t="e">
        <f t="shared" si="20"/>
        <v>#DIV/0!</v>
      </c>
    </row>
    <row r="396" spans="1:9" x14ac:dyDescent="0.55000000000000004">
      <c r="A396" s="1">
        <v>46052</v>
      </c>
      <c r="G396" s="3">
        <f t="shared" si="18"/>
        <v>0</v>
      </c>
      <c r="H396" s="3" t="e">
        <f t="shared" si="19"/>
        <v>#DIV/0!</v>
      </c>
      <c r="I396" s="3" t="e">
        <f t="shared" si="20"/>
        <v>#DIV/0!</v>
      </c>
    </row>
    <row r="397" spans="1:9" x14ac:dyDescent="0.55000000000000004">
      <c r="A397" s="1">
        <v>46053</v>
      </c>
      <c r="G397" s="3">
        <f t="shared" si="18"/>
        <v>0</v>
      </c>
      <c r="H397" s="3" t="e">
        <f t="shared" si="19"/>
        <v>#DIV/0!</v>
      </c>
      <c r="I397" s="3" t="e">
        <f t="shared" si="20"/>
        <v>#DIV/0!</v>
      </c>
    </row>
    <row r="398" spans="1:9" x14ac:dyDescent="0.55000000000000004">
      <c r="A398" s="1">
        <v>46054</v>
      </c>
      <c r="G398" s="3">
        <f t="shared" ref="G398:G438" si="21">C398+D398+E398+F398</f>
        <v>0</v>
      </c>
      <c r="H398" s="3" t="e">
        <f t="shared" ref="H398:H438" si="22">C398/B398</f>
        <v>#DIV/0!</v>
      </c>
      <c r="I398" s="3" t="e">
        <f t="shared" ref="I398:I438" si="23">G398/B398</f>
        <v>#DIV/0!</v>
      </c>
    </row>
    <row r="399" spans="1:9" x14ac:dyDescent="0.55000000000000004">
      <c r="A399" s="1">
        <v>46055</v>
      </c>
      <c r="G399" s="3">
        <f t="shared" si="21"/>
        <v>0</v>
      </c>
      <c r="H399" s="3" t="e">
        <f t="shared" si="22"/>
        <v>#DIV/0!</v>
      </c>
      <c r="I399" s="3" t="e">
        <f t="shared" si="23"/>
        <v>#DIV/0!</v>
      </c>
    </row>
    <row r="400" spans="1:9" x14ac:dyDescent="0.55000000000000004">
      <c r="A400" s="1">
        <v>46056</v>
      </c>
      <c r="G400" s="3">
        <f t="shared" si="21"/>
        <v>0</v>
      </c>
      <c r="H400" s="3" t="e">
        <f t="shared" si="22"/>
        <v>#DIV/0!</v>
      </c>
      <c r="I400" s="3" t="e">
        <f t="shared" si="23"/>
        <v>#DIV/0!</v>
      </c>
    </row>
    <row r="401" spans="1:9" x14ac:dyDescent="0.55000000000000004">
      <c r="A401" s="1">
        <v>46057</v>
      </c>
      <c r="G401" s="3">
        <f t="shared" si="21"/>
        <v>0</v>
      </c>
      <c r="H401" s="3" t="e">
        <f t="shared" si="22"/>
        <v>#DIV/0!</v>
      </c>
      <c r="I401" s="3" t="e">
        <f t="shared" si="23"/>
        <v>#DIV/0!</v>
      </c>
    </row>
    <row r="402" spans="1:9" x14ac:dyDescent="0.55000000000000004">
      <c r="A402" s="1">
        <v>46058</v>
      </c>
      <c r="G402" s="3">
        <f t="shared" si="21"/>
        <v>0</v>
      </c>
      <c r="H402" s="3" t="e">
        <f t="shared" si="22"/>
        <v>#DIV/0!</v>
      </c>
      <c r="I402" s="3" t="e">
        <f t="shared" si="23"/>
        <v>#DIV/0!</v>
      </c>
    </row>
    <row r="403" spans="1:9" x14ac:dyDescent="0.55000000000000004">
      <c r="A403" s="1">
        <v>46059</v>
      </c>
      <c r="G403" s="3">
        <f t="shared" si="21"/>
        <v>0</v>
      </c>
      <c r="H403" s="3" t="e">
        <f t="shared" si="22"/>
        <v>#DIV/0!</v>
      </c>
      <c r="I403" s="3" t="e">
        <f t="shared" si="23"/>
        <v>#DIV/0!</v>
      </c>
    </row>
    <row r="404" spans="1:9" x14ac:dyDescent="0.55000000000000004">
      <c r="A404" s="1">
        <v>46060</v>
      </c>
      <c r="G404" s="3">
        <f t="shared" si="21"/>
        <v>0</v>
      </c>
      <c r="H404" s="3" t="e">
        <f t="shared" si="22"/>
        <v>#DIV/0!</v>
      </c>
      <c r="I404" s="3" t="e">
        <f t="shared" si="23"/>
        <v>#DIV/0!</v>
      </c>
    </row>
    <row r="405" spans="1:9" x14ac:dyDescent="0.55000000000000004">
      <c r="A405" s="1">
        <v>46061</v>
      </c>
      <c r="G405" s="3">
        <f t="shared" si="21"/>
        <v>0</v>
      </c>
      <c r="H405" s="3" t="e">
        <f t="shared" si="22"/>
        <v>#DIV/0!</v>
      </c>
      <c r="I405" s="3" t="e">
        <f t="shared" si="23"/>
        <v>#DIV/0!</v>
      </c>
    </row>
    <row r="406" spans="1:9" x14ac:dyDescent="0.55000000000000004">
      <c r="A406" s="1">
        <v>46062</v>
      </c>
      <c r="G406" s="3">
        <f t="shared" si="21"/>
        <v>0</v>
      </c>
      <c r="H406" s="3" t="e">
        <f t="shared" si="22"/>
        <v>#DIV/0!</v>
      </c>
      <c r="I406" s="3" t="e">
        <f t="shared" si="23"/>
        <v>#DIV/0!</v>
      </c>
    </row>
    <row r="407" spans="1:9" x14ac:dyDescent="0.55000000000000004">
      <c r="A407" s="1">
        <v>46063</v>
      </c>
      <c r="G407" s="3">
        <f t="shared" si="21"/>
        <v>0</v>
      </c>
      <c r="H407" s="3" t="e">
        <f t="shared" si="22"/>
        <v>#DIV/0!</v>
      </c>
      <c r="I407" s="3" t="e">
        <f t="shared" si="23"/>
        <v>#DIV/0!</v>
      </c>
    </row>
    <row r="408" spans="1:9" x14ac:dyDescent="0.55000000000000004">
      <c r="A408" s="1">
        <v>46064</v>
      </c>
      <c r="G408" s="3">
        <f t="shared" si="21"/>
        <v>0</v>
      </c>
      <c r="H408" s="3" t="e">
        <f t="shared" si="22"/>
        <v>#DIV/0!</v>
      </c>
      <c r="I408" s="3" t="e">
        <f t="shared" si="23"/>
        <v>#DIV/0!</v>
      </c>
    </row>
    <row r="409" spans="1:9" x14ac:dyDescent="0.55000000000000004">
      <c r="A409" s="1">
        <v>46065</v>
      </c>
      <c r="G409" s="3">
        <f t="shared" si="21"/>
        <v>0</v>
      </c>
      <c r="H409" s="3" t="e">
        <f t="shared" si="22"/>
        <v>#DIV/0!</v>
      </c>
      <c r="I409" s="3" t="e">
        <f t="shared" si="23"/>
        <v>#DIV/0!</v>
      </c>
    </row>
    <row r="410" spans="1:9" x14ac:dyDescent="0.55000000000000004">
      <c r="A410" s="1">
        <v>46066</v>
      </c>
      <c r="G410" s="3">
        <f t="shared" si="21"/>
        <v>0</v>
      </c>
      <c r="H410" s="3" t="e">
        <f t="shared" si="22"/>
        <v>#DIV/0!</v>
      </c>
      <c r="I410" s="3" t="e">
        <f t="shared" si="23"/>
        <v>#DIV/0!</v>
      </c>
    </row>
    <row r="411" spans="1:9" x14ac:dyDescent="0.55000000000000004">
      <c r="A411" s="1">
        <v>46067</v>
      </c>
      <c r="G411" s="3">
        <f t="shared" si="21"/>
        <v>0</v>
      </c>
      <c r="H411" s="3" t="e">
        <f t="shared" si="22"/>
        <v>#DIV/0!</v>
      </c>
      <c r="I411" s="3" t="e">
        <f t="shared" si="23"/>
        <v>#DIV/0!</v>
      </c>
    </row>
    <row r="412" spans="1:9" x14ac:dyDescent="0.55000000000000004">
      <c r="A412" s="1">
        <v>46068</v>
      </c>
      <c r="G412" s="3">
        <f t="shared" si="21"/>
        <v>0</v>
      </c>
      <c r="H412" s="3" t="e">
        <f t="shared" si="22"/>
        <v>#DIV/0!</v>
      </c>
      <c r="I412" s="3" t="e">
        <f t="shared" si="23"/>
        <v>#DIV/0!</v>
      </c>
    </row>
    <row r="413" spans="1:9" x14ac:dyDescent="0.55000000000000004">
      <c r="A413" s="1">
        <v>46069</v>
      </c>
      <c r="G413" s="3">
        <f t="shared" si="21"/>
        <v>0</v>
      </c>
      <c r="H413" s="3" t="e">
        <f t="shared" si="22"/>
        <v>#DIV/0!</v>
      </c>
      <c r="I413" s="3" t="e">
        <f t="shared" si="23"/>
        <v>#DIV/0!</v>
      </c>
    </row>
    <row r="414" spans="1:9" x14ac:dyDescent="0.55000000000000004">
      <c r="A414" s="1">
        <v>46070</v>
      </c>
      <c r="G414" s="3">
        <f t="shared" si="21"/>
        <v>0</v>
      </c>
      <c r="H414" s="3" t="e">
        <f t="shared" si="22"/>
        <v>#DIV/0!</v>
      </c>
      <c r="I414" s="3" t="e">
        <f t="shared" si="23"/>
        <v>#DIV/0!</v>
      </c>
    </row>
    <row r="415" spans="1:9" x14ac:dyDescent="0.55000000000000004">
      <c r="A415" s="1">
        <v>46071</v>
      </c>
      <c r="G415" s="3">
        <f t="shared" si="21"/>
        <v>0</v>
      </c>
      <c r="H415" s="3" t="e">
        <f t="shared" si="22"/>
        <v>#DIV/0!</v>
      </c>
      <c r="I415" s="3" t="e">
        <f t="shared" si="23"/>
        <v>#DIV/0!</v>
      </c>
    </row>
    <row r="416" spans="1:9" x14ac:dyDescent="0.55000000000000004">
      <c r="A416" s="1">
        <v>46072</v>
      </c>
      <c r="G416" s="3">
        <f t="shared" si="21"/>
        <v>0</v>
      </c>
      <c r="H416" s="3" t="e">
        <f t="shared" si="22"/>
        <v>#DIV/0!</v>
      </c>
      <c r="I416" s="3" t="e">
        <f t="shared" si="23"/>
        <v>#DIV/0!</v>
      </c>
    </row>
    <row r="417" spans="1:9" x14ac:dyDescent="0.55000000000000004">
      <c r="A417" s="1">
        <v>46073</v>
      </c>
      <c r="G417" s="3">
        <f t="shared" si="21"/>
        <v>0</v>
      </c>
      <c r="H417" s="3" t="e">
        <f t="shared" si="22"/>
        <v>#DIV/0!</v>
      </c>
      <c r="I417" s="3" t="e">
        <f t="shared" si="23"/>
        <v>#DIV/0!</v>
      </c>
    </row>
    <row r="418" spans="1:9" x14ac:dyDescent="0.55000000000000004">
      <c r="A418" s="1">
        <v>46074</v>
      </c>
      <c r="G418" s="3">
        <f t="shared" si="21"/>
        <v>0</v>
      </c>
      <c r="H418" s="3" t="e">
        <f t="shared" si="22"/>
        <v>#DIV/0!</v>
      </c>
      <c r="I418" s="3" t="e">
        <f t="shared" si="23"/>
        <v>#DIV/0!</v>
      </c>
    </row>
    <row r="419" spans="1:9" x14ac:dyDescent="0.55000000000000004">
      <c r="A419" s="1">
        <v>46075</v>
      </c>
      <c r="G419" s="3">
        <f t="shared" si="21"/>
        <v>0</v>
      </c>
      <c r="H419" s="3" t="e">
        <f t="shared" si="22"/>
        <v>#DIV/0!</v>
      </c>
      <c r="I419" s="3" t="e">
        <f t="shared" si="23"/>
        <v>#DIV/0!</v>
      </c>
    </row>
    <row r="420" spans="1:9" x14ac:dyDescent="0.55000000000000004">
      <c r="A420" s="1">
        <v>46076</v>
      </c>
      <c r="G420" s="3">
        <f t="shared" si="21"/>
        <v>0</v>
      </c>
      <c r="H420" s="3" t="e">
        <f t="shared" si="22"/>
        <v>#DIV/0!</v>
      </c>
      <c r="I420" s="3" t="e">
        <f t="shared" si="23"/>
        <v>#DIV/0!</v>
      </c>
    </row>
    <row r="421" spans="1:9" x14ac:dyDescent="0.55000000000000004">
      <c r="A421" s="1">
        <v>46077</v>
      </c>
      <c r="G421" s="3">
        <f t="shared" si="21"/>
        <v>0</v>
      </c>
      <c r="H421" s="3" t="e">
        <f t="shared" si="22"/>
        <v>#DIV/0!</v>
      </c>
      <c r="I421" s="3" t="e">
        <f t="shared" si="23"/>
        <v>#DIV/0!</v>
      </c>
    </row>
    <row r="422" spans="1:9" x14ac:dyDescent="0.55000000000000004">
      <c r="A422" s="1">
        <v>46078</v>
      </c>
      <c r="G422" s="3">
        <f t="shared" si="21"/>
        <v>0</v>
      </c>
      <c r="H422" s="3" t="e">
        <f t="shared" si="22"/>
        <v>#DIV/0!</v>
      </c>
      <c r="I422" s="3" t="e">
        <f t="shared" si="23"/>
        <v>#DIV/0!</v>
      </c>
    </row>
    <row r="423" spans="1:9" x14ac:dyDescent="0.55000000000000004">
      <c r="A423" s="1">
        <v>46079</v>
      </c>
      <c r="G423" s="3">
        <f t="shared" si="21"/>
        <v>0</v>
      </c>
      <c r="H423" s="3" t="e">
        <f t="shared" si="22"/>
        <v>#DIV/0!</v>
      </c>
      <c r="I423" s="3" t="e">
        <f t="shared" si="23"/>
        <v>#DIV/0!</v>
      </c>
    </row>
    <row r="424" spans="1:9" x14ac:dyDescent="0.55000000000000004">
      <c r="A424" s="1">
        <v>46080</v>
      </c>
      <c r="G424" s="3">
        <f t="shared" si="21"/>
        <v>0</v>
      </c>
      <c r="H424" s="3" t="e">
        <f t="shared" si="22"/>
        <v>#DIV/0!</v>
      </c>
      <c r="I424" s="3" t="e">
        <f t="shared" si="23"/>
        <v>#DIV/0!</v>
      </c>
    </row>
    <row r="425" spans="1:9" x14ac:dyDescent="0.55000000000000004">
      <c r="A425" s="1">
        <v>46081</v>
      </c>
      <c r="G425" s="3">
        <f t="shared" si="21"/>
        <v>0</v>
      </c>
      <c r="H425" s="3" t="e">
        <f t="shared" si="22"/>
        <v>#DIV/0!</v>
      </c>
      <c r="I425" s="3" t="e">
        <f t="shared" si="23"/>
        <v>#DIV/0!</v>
      </c>
    </row>
    <row r="426" spans="1:9" x14ac:dyDescent="0.55000000000000004">
      <c r="A426" s="1">
        <v>46082</v>
      </c>
      <c r="G426" s="3">
        <f t="shared" si="21"/>
        <v>0</v>
      </c>
      <c r="H426" s="3" t="e">
        <f t="shared" si="22"/>
        <v>#DIV/0!</v>
      </c>
      <c r="I426" s="3" t="e">
        <f t="shared" si="23"/>
        <v>#DIV/0!</v>
      </c>
    </row>
    <row r="427" spans="1:9" x14ac:dyDescent="0.55000000000000004">
      <c r="A427" s="1">
        <v>46083</v>
      </c>
      <c r="G427" s="3">
        <f t="shared" si="21"/>
        <v>0</v>
      </c>
      <c r="H427" s="3" t="e">
        <f t="shared" si="22"/>
        <v>#DIV/0!</v>
      </c>
      <c r="I427" s="3" t="e">
        <f t="shared" si="23"/>
        <v>#DIV/0!</v>
      </c>
    </row>
    <row r="428" spans="1:9" x14ac:dyDescent="0.55000000000000004">
      <c r="A428" s="1">
        <v>46084</v>
      </c>
      <c r="G428" s="3">
        <f t="shared" si="21"/>
        <v>0</v>
      </c>
      <c r="H428" s="3" t="e">
        <f t="shared" si="22"/>
        <v>#DIV/0!</v>
      </c>
      <c r="I428" s="3" t="e">
        <f t="shared" si="23"/>
        <v>#DIV/0!</v>
      </c>
    </row>
    <row r="429" spans="1:9" x14ac:dyDescent="0.55000000000000004">
      <c r="A429" s="1">
        <v>46085</v>
      </c>
      <c r="G429" s="3">
        <f t="shared" si="21"/>
        <v>0</v>
      </c>
      <c r="H429" s="3" t="e">
        <f t="shared" si="22"/>
        <v>#DIV/0!</v>
      </c>
      <c r="I429" s="3" t="e">
        <f t="shared" si="23"/>
        <v>#DIV/0!</v>
      </c>
    </row>
    <row r="430" spans="1:9" x14ac:dyDescent="0.55000000000000004">
      <c r="A430" s="1">
        <v>46086</v>
      </c>
      <c r="G430" s="3">
        <f t="shared" si="21"/>
        <v>0</v>
      </c>
      <c r="H430" s="3" t="e">
        <f t="shared" si="22"/>
        <v>#DIV/0!</v>
      </c>
      <c r="I430" s="3" t="e">
        <f t="shared" si="23"/>
        <v>#DIV/0!</v>
      </c>
    </row>
    <row r="431" spans="1:9" x14ac:dyDescent="0.55000000000000004">
      <c r="A431" s="1">
        <v>46087</v>
      </c>
      <c r="G431" s="3">
        <f t="shared" si="21"/>
        <v>0</v>
      </c>
      <c r="H431" s="3" t="e">
        <f t="shared" si="22"/>
        <v>#DIV/0!</v>
      </c>
      <c r="I431" s="3" t="e">
        <f t="shared" si="23"/>
        <v>#DIV/0!</v>
      </c>
    </row>
    <row r="432" spans="1:9" x14ac:dyDescent="0.55000000000000004">
      <c r="A432" s="1">
        <v>46088</v>
      </c>
      <c r="G432" s="3">
        <f t="shared" si="21"/>
        <v>0</v>
      </c>
      <c r="H432" s="3" t="e">
        <f t="shared" si="22"/>
        <v>#DIV/0!</v>
      </c>
      <c r="I432" s="3" t="e">
        <f t="shared" si="23"/>
        <v>#DIV/0!</v>
      </c>
    </row>
    <row r="433" spans="1:9" x14ac:dyDescent="0.55000000000000004">
      <c r="A433" s="1">
        <v>46089</v>
      </c>
      <c r="G433" s="3">
        <f t="shared" si="21"/>
        <v>0</v>
      </c>
      <c r="H433" s="3" t="e">
        <f t="shared" si="22"/>
        <v>#DIV/0!</v>
      </c>
      <c r="I433" s="3" t="e">
        <f t="shared" si="23"/>
        <v>#DIV/0!</v>
      </c>
    </row>
    <row r="434" spans="1:9" x14ac:dyDescent="0.55000000000000004">
      <c r="A434" s="1">
        <v>46090</v>
      </c>
      <c r="G434" s="3">
        <f t="shared" si="21"/>
        <v>0</v>
      </c>
      <c r="H434" s="3" t="e">
        <f t="shared" si="22"/>
        <v>#DIV/0!</v>
      </c>
      <c r="I434" s="3" t="e">
        <f t="shared" si="23"/>
        <v>#DIV/0!</v>
      </c>
    </row>
    <row r="435" spans="1:9" x14ac:dyDescent="0.55000000000000004">
      <c r="A435" s="1">
        <v>46091</v>
      </c>
      <c r="G435" s="3">
        <f t="shared" si="21"/>
        <v>0</v>
      </c>
      <c r="H435" s="3" t="e">
        <f t="shared" si="22"/>
        <v>#DIV/0!</v>
      </c>
      <c r="I435" s="3" t="e">
        <f t="shared" si="23"/>
        <v>#DIV/0!</v>
      </c>
    </row>
    <row r="436" spans="1:9" x14ac:dyDescent="0.55000000000000004">
      <c r="A436" s="1">
        <v>46092</v>
      </c>
      <c r="G436" s="3">
        <f t="shared" si="21"/>
        <v>0</v>
      </c>
      <c r="H436" s="3" t="e">
        <f t="shared" si="22"/>
        <v>#DIV/0!</v>
      </c>
      <c r="I436" s="3" t="e">
        <f t="shared" si="23"/>
        <v>#DIV/0!</v>
      </c>
    </row>
    <row r="437" spans="1:9" x14ac:dyDescent="0.55000000000000004">
      <c r="A437" s="1">
        <v>46093</v>
      </c>
      <c r="G437" s="3">
        <f t="shared" si="21"/>
        <v>0</v>
      </c>
      <c r="H437" s="3" t="e">
        <f t="shared" si="22"/>
        <v>#DIV/0!</v>
      </c>
      <c r="I437" s="3" t="e">
        <f t="shared" si="23"/>
        <v>#DIV/0!</v>
      </c>
    </row>
    <row r="438" spans="1:9" x14ac:dyDescent="0.55000000000000004">
      <c r="A438" s="1">
        <v>46094</v>
      </c>
      <c r="G438" s="3">
        <f t="shared" si="21"/>
        <v>0</v>
      </c>
      <c r="H438" s="3" t="e">
        <f t="shared" si="22"/>
        <v>#DIV/0!</v>
      </c>
      <c r="I438" s="3" t="e">
        <f t="shared" si="23"/>
        <v>#DIV/0!</v>
      </c>
    </row>
    <row r="439" spans="1:9" x14ac:dyDescent="0.55000000000000004">
      <c r="A439" s="1">
        <v>46095</v>
      </c>
      <c r="G439" s="3">
        <f t="shared" ref="G439:G502" si="24">C439+D439+E439+F439</f>
        <v>0</v>
      </c>
      <c r="H439" s="3" t="e">
        <f t="shared" ref="H439:H502" si="25">C439/B439</f>
        <v>#DIV/0!</v>
      </c>
      <c r="I439" s="3" t="e">
        <f t="shared" ref="I439:I502" si="26">G439/B439</f>
        <v>#DIV/0!</v>
      </c>
    </row>
    <row r="440" spans="1:9" x14ac:dyDescent="0.55000000000000004">
      <c r="A440" s="1">
        <v>46096</v>
      </c>
      <c r="G440" s="3">
        <f t="shared" si="24"/>
        <v>0</v>
      </c>
      <c r="H440" s="3" t="e">
        <f t="shared" si="25"/>
        <v>#DIV/0!</v>
      </c>
      <c r="I440" s="3" t="e">
        <f t="shared" si="26"/>
        <v>#DIV/0!</v>
      </c>
    </row>
    <row r="441" spans="1:9" x14ac:dyDescent="0.55000000000000004">
      <c r="A441" s="1">
        <v>46097</v>
      </c>
      <c r="G441" s="3">
        <f t="shared" si="24"/>
        <v>0</v>
      </c>
      <c r="H441" s="3" t="e">
        <f t="shared" si="25"/>
        <v>#DIV/0!</v>
      </c>
      <c r="I441" s="3" t="e">
        <f t="shared" si="26"/>
        <v>#DIV/0!</v>
      </c>
    </row>
    <row r="442" spans="1:9" x14ac:dyDescent="0.55000000000000004">
      <c r="A442" s="1">
        <v>46098</v>
      </c>
      <c r="G442" s="3">
        <f t="shared" si="24"/>
        <v>0</v>
      </c>
      <c r="H442" s="3" t="e">
        <f t="shared" si="25"/>
        <v>#DIV/0!</v>
      </c>
      <c r="I442" s="3" t="e">
        <f t="shared" si="26"/>
        <v>#DIV/0!</v>
      </c>
    </row>
    <row r="443" spans="1:9" x14ac:dyDescent="0.55000000000000004">
      <c r="A443" s="1">
        <v>46099</v>
      </c>
      <c r="G443" s="3">
        <f t="shared" si="24"/>
        <v>0</v>
      </c>
      <c r="H443" s="3" t="e">
        <f t="shared" si="25"/>
        <v>#DIV/0!</v>
      </c>
      <c r="I443" s="3" t="e">
        <f t="shared" si="26"/>
        <v>#DIV/0!</v>
      </c>
    </row>
    <row r="444" spans="1:9" x14ac:dyDescent="0.55000000000000004">
      <c r="A444" s="1">
        <v>46100</v>
      </c>
      <c r="G444" s="3">
        <f t="shared" si="24"/>
        <v>0</v>
      </c>
      <c r="H444" s="3" t="e">
        <f t="shared" si="25"/>
        <v>#DIV/0!</v>
      </c>
      <c r="I444" s="3" t="e">
        <f t="shared" si="26"/>
        <v>#DIV/0!</v>
      </c>
    </row>
    <row r="445" spans="1:9" x14ac:dyDescent="0.55000000000000004">
      <c r="A445" s="1">
        <v>46101</v>
      </c>
      <c r="G445" s="3">
        <f t="shared" si="24"/>
        <v>0</v>
      </c>
      <c r="H445" s="3" t="e">
        <f t="shared" si="25"/>
        <v>#DIV/0!</v>
      </c>
      <c r="I445" s="3" t="e">
        <f t="shared" si="26"/>
        <v>#DIV/0!</v>
      </c>
    </row>
    <row r="446" spans="1:9" x14ac:dyDescent="0.55000000000000004">
      <c r="A446" s="1">
        <v>46102</v>
      </c>
      <c r="G446" s="3">
        <f t="shared" si="24"/>
        <v>0</v>
      </c>
      <c r="H446" s="3" t="e">
        <f t="shared" si="25"/>
        <v>#DIV/0!</v>
      </c>
      <c r="I446" s="3" t="e">
        <f t="shared" si="26"/>
        <v>#DIV/0!</v>
      </c>
    </row>
    <row r="447" spans="1:9" x14ac:dyDescent="0.55000000000000004">
      <c r="A447" s="1">
        <v>46103</v>
      </c>
      <c r="G447" s="3">
        <f t="shared" si="24"/>
        <v>0</v>
      </c>
      <c r="H447" s="3" t="e">
        <f t="shared" si="25"/>
        <v>#DIV/0!</v>
      </c>
      <c r="I447" s="3" t="e">
        <f t="shared" si="26"/>
        <v>#DIV/0!</v>
      </c>
    </row>
    <row r="448" spans="1:9" x14ac:dyDescent="0.55000000000000004">
      <c r="A448" s="1">
        <v>46104</v>
      </c>
      <c r="G448" s="3">
        <f t="shared" si="24"/>
        <v>0</v>
      </c>
      <c r="H448" s="3" t="e">
        <f t="shared" si="25"/>
        <v>#DIV/0!</v>
      </c>
      <c r="I448" s="3" t="e">
        <f t="shared" si="26"/>
        <v>#DIV/0!</v>
      </c>
    </row>
    <row r="449" spans="1:9" x14ac:dyDescent="0.55000000000000004">
      <c r="A449" s="1">
        <v>46105</v>
      </c>
      <c r="G449" s="3">
        <f t="shared" si="24"/>
        <v>0</v>
      </c>
      <c r="H449" s="3" t="e">
        <f t="shared" si="25"/>
        <v>#DIV/0!</v>
      </c>
      <c r="I449" s="3" t="e">
        <f t="shared" si="26"/>
        <v>#DIV/0!</v>
      </c>
    </row>
    <row r="450" spans="1:9" x14ac:dyDescent="0.55000000000000004">
      <c r="A450" s="1">
        <v>46106</v>
      </c>
      <c r="G450" s="3">
        <f t="shared" si="24"/>
        <v>0</v>
      </c>
      <c r="H450" s="3" t="e">
        <f t="shared" si="25"/>
        <v>#DIV/0!</v>
      </c>
      <c r="I450" s="3" t="e">
        <f t="shared" si="26"/>
        <v>#DIV/0!</v>
      </c>
    </row>
    <row r="451" spans="1:9" x14ac:dyDescent="0.55000000000000004">
      <c r="A451" s="1">
        <v>46107</v>
      </c>
      <c r="G451" s="3">
        <f t="shared" si="24"/>
        <v>0</v>
      </c>
      <c r="H451" s="3" t="e">
        <f t="shared" si="25"/>
        <v>#DIV/0!</v>
      </c>
      <c r="I451" s="3" t="e">
        <f t="shared" si="26"/>
        <v>#DIV/0!</v>
      </c>
    </row>
    <row r="452" spans="1:9" x14ac:dyDescent="0.55000000000000004">
      <c r="A452" s="1">
        <v>46108</v>
      </c>
      <c r="G452" s="3">
        <f t="shared" si="24"/>
        <v>0</v>
      </c>
      <c r="H452" s="3" t="e">
        <f t="shared" si="25"/>
        <v>#DIV/0!</v>
      </c>
      <c r="I452" s="3" t="e">
        <f t="shared" si="26"/>
        <v>#DIV/0!</v>
      </c>
    </row>
    <row r="453" spans="1:9" x14ac:dyDescent="0.55000000000000004">
      <c r="A453" s="1">
        <v>46109</v>
      </c>
      <c r="G453" s="3">
        <f t="shared" si="24"/>
        <v>0</v>
      </c>
      <c r="H453" s="3" t="e">
        <f t="shared" si="25"/>
        <v>#DIV/0!</v>
      </c>
      <c r="I453" s="3" t="e">
        <f t="shared" si="26"/>
        <v>#DIV/0!</v>
      </c>
    </row>
    <row r="454" spans="1:9" x14ac:dyDescent="0.55000000000000004">
      <c r="A454" s="1">
        <v>46110</v>
      </c>
      <c r="G454" s="3">
        <f t="shared" si="24"/>
        <v>0</v>
      </c>
      <c r="H454" s="3" t="e">
        <f t="shared" si="25"/>
        <v>#DIV/0!</v>
      </c>
      <c r="I454" s="3" t="e">
        <f t="shared" si="26"/>
        <v>#DIV/0!</v>
      </c>
    </row>
    <row r="455" spans="1:9" x14ac:dyDescent="0.55000000000000004">
      <c r="A455" s="1">
        <v>46111</v>
      </c>
      <c r="G455" s="3">
        <f t="shared" si="24"/>
        <v>0</v>
      </c>
      <c r="H455" s="3" t="e">
        <f t="shared" si="25"/>
        <v>#DIV/0!</v>
      </c>
      <c r="I455" s="3" t="e">
        <f t="shared" si="26"/>
        <v>#DIV/0!</v>
      </c>
    </row>
    <row r="456" spans="1:9" x14ac:dyDescent="0.55000000000000004">
      <c r="A456" s="1">
        <v>46112</v>
      </c>
      <c r="G456" s="3">
        <f t="shared" si="24"/>
        <v>0</v>
      </c>
      <c r="H456" s="3" t="e">
        <f t="shared" si="25"/>
        <v>#DIV/0!</v>
      </c>
      <c r="I456" s="3" t="e">
        <f t="shared" si="26"/>
        <v>#DIV/0!</v>
      </c>
    </row>
    <row r="457" spans="1:9" x14ac:dyDescent="0.55000000000000004">
      <c r="A457" s="1">
        <v>46113</v>
      </c>
      <c r="G457" s="3">
        <f t="shared" si="24"/>
        <v>0</v>
      </c>
      <c r="H457" s="3" t="e">
        <f t="shared" si="25"/>
        <v>#DIV/0!</v>
      </c>
      <c r="I457" s="3" t="e">
        <f t="shared" si="26"/>
        <v>#DIV/0!</v>
      </c>
    </row>
    <row r="458" spans="1:9" x14ac:dyDescent="0.55000000000000004">
      <c r="A458" s="1">
        <v>46114</v>
      </c>
      <c r="G458" s="3">
        <f t="shared" si="24"/>
        <v>0</v>
      </c>
      <c r="H458" s="3" t="e">
        <f t="shared" si="25"/>
        <v>#DIV/0!</v>
      </c>
      <c r="I458" s="3" t="e">
        <f t="shared" si="26"/>
        <v>#DIV/0!</v>
      </c>
    </row>
    <row r="459" spans="1:9" x14ac:dyDescent="0.55000000000000004">
      <c r="A459" s="1">
        <v>46115</v>
      </c>
      <c r="G459" s="3">
        <f t="shared" si="24"/>
        <v>0</v>
      </c>
      <c r="H459" s="3" t="e">
        <f t="shared" si="25"/>
        <v>#DIV/0!</v>
      </c>
      <c r="I459" s="3" t="e">
        <f t="shared" si="26"/>
        <v>#DIV/0!</v>
      </c>
    </row>
    <row r="460" spans="1:9" x14ac:dyDescent="0.55000000000000004">
      <c r="A460" s="1">
        <v>46116</v>
      </c>
      <c r="G460" s="3">
        <f t="shared" si="24"/>
        <v>0</v>
      </c>
      <c r="H460" s="3" t="e">
        <f t="shared" si="25"/>
        <v>#DIV/0!</v>
      </c>
      <c r="I460" s="3" t="e">
        <f t="shared" si="26"/>
        <v>#DIV/0!</v>
      </c>
    </row>
    <row r="461" spans="1:9" x14ac:dyDescent="0.55000000000000004">
      <c r="A461" s="1">
        <v>46117</v>
      </c>
      <c r="G461" s="3">
        <f t="shared" si="24"/>
        <v>0</v>
      </c>
      <c r="H461" s="3" t="e">
        <f t="shared" si="25"/>
        <v>#DIV/0!</v>
      </c>
      <c r="I461" s="3" t="e">
        <f t="shared" si="26"/>
        <v>#DIV/0!</v>
      </c>
    </row>
    <row r="462" spans="1:9" x14ac:dyDescent="0.55000000000000004">
      <c r="A462" s="1">
        <v>46118</v>
      </c>
      <c r="G462" s="3">
        <f t="shared" si="24"/>
        <v>0</v>
      </c>
      <c r="H462" s="3" t="e">
        <f t="shared" si="25"/>
        <v>#DIV/0!</v>
      </c>
      <c r="I462" s="3" t="e">
        <f t="shared" si="26"/>
        <v>#DIV/0!</v>
      </c>
    </row>
    <row r="463" spans="1:9" x14ac:dyDescent="0.55000000000000004">
      <c r="A463" s="1">
        <v>46119</v>
      </c>
      <c r="G463" s="3">
        <f t="shared" si="24"/>
        <v>0</v>
      </c>
      <c r="H463" s="3" t="e">
        <f t="shared" si="25"/>
        <v>#DIV/0!</v>
      </c>
      <c r="I463" s="3" t="e">
        <f t="shared" si="26"/>
        <v>#DIV/0!</v>
      </c>
    </row>
    <row r="464" spans="1:9" x14ac:dyDescent="0.55000000000000004">
      <c r="A464" s="1">
        <v>46120</v>
      </c>
      <c r="G464" s="3">
        <f t="shared" si="24"/>
        <v>0</v>
      </c>
      <c r="H464" s="3" t="e">
        <f t="shared" si="25"/>
        <v>#DIV/0!</v>
      </c>
      <c r="I464" s="3" t="e">
        <f t="shared" si="26"/>
        <v>#DIV/0!</v>
      </c>
    </row>
    <row r="465" spans="1:9" x14ac:dyDescent="0.55000000000000004">
      <c r="A465" s="1">
        <v>46121</v>
      </c>
      <c r="G465" s="3">
        <f t="shared" si="24"/>
        <v>0</v>
      </c>
      <c r="H465" s="3" t="e">
        <f t="shared" si="25"/>
        <v>#DIV/0!</v>
      </c>
      <c r="I465" s="3" t="e">
        <f t="shared" si="26"/>
        <v>#DIV/0!</v>
      </c>
    </row>
    <row r="466" spans="1:9" x14ac:dyDescent="0.55000000000000004">
      <c r="A466" s="1">
        <v>46122</v>
      </c>
      <c r="G466" s="3">
        <f t="shared" si="24"/>
        <v>0</v>
      </c>
      <c r="H466" s="3" t="e">
        <f t="shared" si="25"/>
        <v>#DIV/0!</v>
      </c>
      <c r="I466" s="3" t="e">
        <f t="shared" si="26"/>
        <v>#DIV/0!</v>
      </c>
    </row>
    <row r="467" spans="1:9" x14ac:dyDescent="0.55000000000000004">
      <c r="A467" s="1">
        <v>46123</v>
      </c>
      <c r="G467" s="3">
        <f t="shared" si="24"/>
        <v>0</v>
      </c>
      <c r="H467" s="3" t="e">
        <f t="shared" si="25"/>
        <v>#DIV/0!</v>
      </c>
      <c r="I467" s="3" t="e">
        <f t="shared" si="26"/>
        <v>#DIV/0!</v>
      </c>
    </row>
    <row r="468" spans="1:9" x14ac:dyDescent="0.55000000000000004">
      <c r="A468" s="1">
        <v>46124</v>
      </c>
      <c r="G468" s="3">
        <f t="shared" si="24"/>
        <v>0</v>
      </c>
      <c r="H468" s="3" t="e">
        <f t="shared" si="25"/>
        <v>#DIV/0!</v>
      </c>
      <c r="I468" s="3" t="e">
        <f t="shared" si="26"/>
        <v>#DIV/0!</v>
      </c>
    </row>
    <row r="469" spans="1:9" x14ac:dyDescent="0.55000000000000004">
      <c r="A469" s="1">
        <v>46125</v>
      </c>
      <c r="G469" s="3">
        <f t="shared" si="24"/>
        <v>0</v>
      </c>
      <c r="H469" s="3" t="e">
        <f t="shared" si="25"/>
        <v>#DIV/0!</v>
      </c>
      <c r="I469" s="3" t="e">
        <f t="shared" si="26"/>
        <v>#DIV/0!</v>
      </c>
    </row>
    <row r="470" spans="1:9" x14ac:dyDescent="0.55000000000000004">
      <c r="A470" s="1">
        <v>46126</v>
      </c>
      <c r="G470" s="3">
        <f t="shared" si="24"/>
        <v>0</v>
      </c>
      <c r="H470" s="3" t="e">
        <f t="shared" si="25"/>
        <v>#DIV/0!</v>
      </c>
      <c r="I470" s="3" t="e">
        <f t="shared" si="26"/>
        <v>#DIV/0!</v>
      </c>
    </row>
    <row r="471" spans="1:9" x14ac:dyDescent="0.55000000000000004">
      <c r="A471" s="1">
        <v>46127</v>
      </c>
      <c r="G471" s="3">
        <f t="shared" si="24"/>
        <v>0</v>
      </c>
      <c r="H471" s="3" t="e">
        <f t="shared" si="25"/>
        <v>#DIV/0!</v>
      </c>
      <c r="I471" s="3" t="e">
        <f t="shared" si="26"/>
        <v>#DIV/0!</v>
      </c>
    </row>
    <row r="472" spans="1:9" x14ac:dyDescent="0.55000000000000004">
      <c r="A472" s="1">
        <v>46128</v>
      </c>
      <c r="G472" s="3">
        <f t="shared" si="24"/>
        <v>0</v>
      </c>
      <c r="H472" s="3" t="e">
        <f t="shared" si="25"/>
        <v>#DIV/0!</v>
      </c>
      <c r="I472" s="3" t="e">
        <f t="shared" si="26"/>
        <v>#DIV/0!</v>
      </c>
    </row>
    <row r="473" spans="1:9" x14ac:dyDescent="0.55000000000000004">
      <c r="A473" s="1">
        <v>46129</v>
      </c>
      <c r="G473" s="3">
        <f t="shared" si="24"/>
        <v>0</v>
      </c>
      <c r="H473" s="3" t="e">
        <f t="shared" si="25"/>
        <v>#DIV/0!</v>
      </c>
      <c r="I473" s="3" t="e">
        <f t="shared" si="26"/>
        <v>#DIV/0!</v>
      </c>
    </row>
    <row r="474" spans="1:9" x14ac:dyDescent="0.55000000000000004">
      <c r="A474" s="1">
        <v>46130</v>
      </c>
      <c r="G474" s="3">
        <f t="shared" si="24"/>
        <v>0</v>
      </c>
      <c r="H474" s="3" t="e">
        <f t="shared" si="25"/>
        <v>#DIV/0!</v>
      </c>
      <c r="I474" s="3" t="e">
        <f t="shared" si="26"/>
        <v>#DIV/0!</v>
      </c>
    </row>
    <row r="475" spans="1:9" x14ac:dyDescent="0.55000000000000004">
      <c r="A475" s="1">
        <v>46131</v>
      </c>
      <c r="G475" s="3">
        <f t="shared" si="24"/>
        <v>0</v>
      </c>
      <c r="H475" s="3" t="e">
        <f t="shared" si="25"/>
        <v>#DIV/0!</v>
      </c>
      <c r="I475" s="3" t="e">
        <f t="shared" si="26"/>
        <v>#DIV/0!</v>
      </c>
    </row>
    <row r="476" spans="1:9" x14ac:dyDescent="0.55000000000000004">
      <c r="A476" s="1">
        <v>46132</v>
      </c>
      <c r="G476" s="3">
        <f t="shared" si="24"/>
        <v>0</v>
      </c>
      <c r="H476" s="3" t="e">
        <f t="shared" si="25"/>
        <v>#DIV/0!</v>
      </c>
      <c r="I476" s="3" t="e">
        <f t="shared" si="26"/>
        <v>#DIV/0!</v>
      </c>
    </row>
    <row r="477" spans="1:9" x14ac:dyDescent="0.55000000000000004">
      <c r="A477" s="1">
        <v>46133</v>
      </c>
      <c r="G477" s="3">
        <f t="shared" si="24"/>
        <v>0</v>
      </c>
      <c r="H477" s="3" t="e">
        <f t="shared" si="25"/>
        <v>#DIV/0!</v>
      </c>
      <c r="I477" s="3" t="e">
        <f t="shared" si="26"/>
        <v>#DIV/0!</v>
      </c>
    </row>
    <row r="478" spans="1:9" x14ac:dyDescent="0.55000000000000004">
      <c r="A478" s="1">
        <v>46134</v>
      </c>
      <c r="G478" s="3">
        <f t="shared" si="24"/>
        <v>0</v>
      </c>
      <c r="H478" s="3" t="e">
        <f t="shared" si="25"/>
        <v>#DIV/0!</v>
      </c>
      <c r="I478" s="3" t="e">
        <f t="shared" si="26"/>
        <v>#DIV/0!</v>
      </c>
    </row>
    <row r="479" spans="1:9" x14ac:dyDescent="0.55000000000000004">
      <c r="A479" s="1">
        <v>46135</v>
      </c>
      <c r="G479" s="3">
        <f t="shared" si="24"/>
        <v>0</v>
      </c>
      <c r="H479" s="3" t="e">
        <f t="shared" si="25"/>
        <v>#DIV/0!</v>
      </c>
      <c r="I479" s="3" t="e">
        <f t="shared" si="26"/>
        <v>#DIV/0!</v>
      </c>
    </row>
    <row r="480" spans="1:9" x14ac:dyDescent="0.55000000000000004">
      <c r="A480" s="1">
        <v>46136</v>
      </c>
      <c r="G480" s="3">
        <f t="shared" si="24"/>
        <v>0</v>
      </c>
      <c r="H480" s="3" t="e">
        <f t="shared" si="25"/>
        <v>#DIV/0!</v>
      </c>
      <c r="I480" s="3" t="e">
        <f t="shared" si="26"/>
        <v>#DIV/0!</v>
      </c>
    </row>
    <row r="481" spans="1:9" x14ac:dyDescent="0.55000000000000004">
      <c r="A481" s="1">
        <v>46137</v>
      </c>
      <c r="G481" s="3">
        <f t="shared" si="24"/>
        <v>0</v>
      </c>
      <c r="H481" s="3" t="e">
        <f t="shared" si="25"/>
        <v>#DIV/0!</v>
      </c>
      <c r="I481" s="3" t="e">
        <f t="shared" si="26"/>
        <v>#DIV/0!</v>
      </c>
    </row>
    <row r="482" spans="1:9" x14ac:dyDescent="0.55000000000000004">
      <c r="A482" s="1">
        <v>46138</v>
      </c>
      <c r="G482" s="3">
        <f t="shared" si="24"/>
        <v>0</v>
      </c>
      <c r="H482" s="3" t="e">
        <f t="shared" si="25"/>
        <v>#DIV/0!</v>
      </c>
      <c r="I482" s="3" t="e">
        <f t="shared" si="26"/>
        <v>#DIV/0!</v>
      </c>
    </row>
    <row r="483" spans="1:9" x14ac:dyDescent="0.55000000000000004">
      <c r="A483" s="1">
        <v>46139</v>
      </c>
      <c r="G483" s="3">
        <f t="shared" si="24"/>
        <v>0</v>
      </c>
      <c r="H483" s="3" t="e">
        <f t="shared" si="25"/>
        <v>#DIV/0!</v>
      </c>
      <c r="I483" s="3" t="e">
        <f t="shared" si="26"/>
        <v>#DIV/0!</v>
      </c>
    </row>
    <row r="484" spans="1:9" x14ac:dyDescent="0.55000000000000004">
      <c r="A484" s="1">
        <v>46140</v>
      </c>
      <c r="G484" s="3">
        <f t="shared" si="24"/>
        <v>0</v>
      </c>
      <c r="H484" s="3" t="e">
        <f t="shared" si="25"/>
        <v>#DIV/0!</v>
      </c>
      <c r="I484" s="3" t="e">
        <f t="shared" si="26"/>
        <v>#DIV/0!</v>
      </c>
    </row>
    <row r="485" spans="1:9" x14ac:dyDescent="0.55000000000000004">
      <c r="A485" s="1">
        <v>46141</v>
      </c>
      <c r="G485" s="3">
        <f t="shared" si="24"/>
        <v>0</v>
      </c>
      <c r="H485" s="3" t="e">
        <f t="shared" si="25"/>
        <v>#DIV/0!</v>
      </c>
      <c r="I485" s="3" t="e">
        <f t="shared" si="26"/>
        <v>#DIV/0!</v>
      </c>
    </row>
    <row r="486" spans="1:9" x14ac:dyDescent="0.55000000000000004">
      <c r="A486" s="1">
        <v>46142</v>
      </c>
      <c r="G486" s="3">
        <f t="shared" si="24"/>
        <v>0</v>
      </c>
      <c r="H486" s="3" t="e">
        <f t="shared" si="25"/>
        <v>#DIV/0!</v>
      </c>
      <c r="I486" s="3" t="e">
        <f t="shared" si="26"/>
        <v>#DIV/0!</v>
      </c>
    </row>
    <row r="487" spans="1:9" x14ac:dyDescent="0.55000000000000004">
      <c r="A487" s="1">
        <v>46143</v>
      </c>
      <c r="G487" s="3">
        <f t="shared" si="24"/>
        <v>0</v>
      </c>
      <c r="H487" s="3" t="e">
        <f t="shared" si="25"/>
        <v>#DIV/0!</v>
      </c>
      <c r="I487" s="3" t="e">
        <f t="shared" si="26"/>
        <v>#DIV/0!</v>
      </c>
    </row>
    <row r="488" spans="1:9" x14ac:dyDescent="0.55000000000000004">
      <c r="A488" s="1">
        <v>46144</v>
      </c>
      <c r="G488" s="3">
        <f t="shared" si="24"/>
        <v>0</v>
      </c>
      <c r="H488" s="3" t="e">
        <f t="shared" si="25"/>
        <v>#DIV/0!</v>
      </c>
      <c r="I488" s="3" t="e">
        <f t="shared" si="26"/>
        <v>#DIV/0!</v>
      </c>
    </row>
    <row r="489" spans="1:9" x14ac:dyDescent="0.55000000000000004">
      <c r="A489" s="1">
        <v>46145</v>
      </c>
      <c r="G489" s="3">
        <f t="shared" si="24"/>
        <v>0</v>
      </c>
      <c r="H489" s="3" t="e">
        <f t="shared" si="25"/>
        <v>#DIV/0!</v>
      </c>
      <c r="I489" s="3" t="e">
        <f t="shared" si="26"/>
        <v>#DIV/0!</v>
      </c>
    </row>
    <row r="490" spans="1:9" x14ac:dyDescent="0.55000000000000004">
      <c r="A490" s="1">
        <v>46146</v>
      </c>
      <c r="G490" s="3">
        <f t="shared" si="24"/>
        <v>0</v>
      </c>
      <c r="H490" s="3" t="e">
        <f t="shared" si="25"/>
        <v>#DIV/0!</v>
      </c>
      <c r="I490" s="3" t="e">
        <f t="shared" si="26"/>
        <v>#DIV/0!</v>
      </c>
    </row>
    <row r="491" spans="1:9" x14ac:dyDescent="0.55000000000000004">
      <c r="A491" s="1">
        <v>46147</v>
      </c>
      <c r="G491" s="3">
        <f t="shared" si="24"/>
        <v>0</v>
      </c>
      <c r="H491" s="3" t="e">
        <f t="shared" si="25"/>
        <v>#DIV/0!</v>
      </c>
      <c r="I491" s="3" t="e">
        <f t="shared" si="26"/>
        <v>#DIV/0!</v>
      </c>
    </row>
    <row r="492" spans="1:9" x14ac:dyDescent="0.55000000000000004">
      <c r="A492" s="1">
        <v>46148</v>
      </c>
      <c r="G492" s="3">
        <f t="shared" si="24"/>
        <v>0</v>
      </c>
      <c r="H492" s="3" t="e">
        <f t="shared" si="25"/>
        <v>#DIV/0!</v>
      </c>
      <c r="I492" s="3" t="e">
        <f t="shared" si="26"/>
        <v>#DIV/0!</v>
      </c>
    </row>
    <row r="493" spans="1:9" x14ac:dyDescent="0.55000000000000004">
      <c r="A493" s="1">
        <v>46149</v>
      </c>
      <c r="G493" s="3">
        <f t="shared" si="24"/>
        <v>0</v>
      </c>
      <c r="H493" s="3" t="e">
        <f t="shared" si="25"/>
        <v>#DIV/0!</v>
      </c>
      <c r="I493" s="3" t="e">
        <f t="shared" si="26"/>
        <v>#DIV/0!</v>
      </c>
    </row>
    <row r="494" spans="1:9" x14ac:dyDescent="0.55000000000000004">
      <c r="A494" s="1">
        <v>46150</v>
      </c>
      <c r="G494" s="3">
        <f t="shared" si="24"/>
        <v>0</v>
      </c>
      <c r="H494" s="3" t="e">
        <f t="shared" si="25"/>
        <v>#DIV/0!</v>
      </c>
      <c r="I494" s="3" t="e">
        <f t="shared" si="26"/>
        <v>#DIV/0!</v>
      </c>
    </row>
    <row r="495" spans="1:9" x14ac:dyDescent="0.55000000000000004">
      <c r="A495" s="1">
        <v>46151</v>
      </c>
      <c r="G495" s="3">
        <f t="shared" si="24"/>
        <v>0</v>
      </c>
      <c r="H495" s="3" t="e">
        <f t="shared" si="25"/>
        <v>#DIV/0!</v>
      </c>
      <c r="I495" s="3" t="e">
        <f t="shared" si="26"/>
        <v>#DIV/0!</v>
      </c>
    </row>
    <row r="496" spans="1:9" x14ac:dyDescent="0.55000000000000004">
      <c r="A496" s="1">
        <v>46152</v>
      </c>
      <c r="G496" s="3">
        <f t="shared" si="24"/>
        <v>0</v>
      </c>
      <c r="H496" s="3" t="e">
        <f t="shared" si="25"/>
        <v>#DIV/0!</v>
      </c>
      <c r="I496" s="3" t="e">
        <f t="shared" si="26"/>
        <v>#DIV/0!</v>
      </c>
    </row>
    <row r="497" spans="1:9" x14ac:dyDescent="0.55000000000000004">
      <c r="A497" s="1">
        <v>46153</v>
      </c>
      <c r="G497" s="3">
        <f t="shared" si="24"/>
        <v>0</v>
      </c>
      <c r="H497" s="3" t="e">
        <f t="shared" si="25"/>
        <v>#DIV/0!</v>
      </c>
      <c r="I497" s="3" t="e">
        <f t="shared" si="26"/>
        <v>#DIV/0!</v>
      </c>
    </row>
    <row r="498" spans="1:9" x14ac:dyDescent="0.55000000000000004">
      <c r="A498" s="1">
        <v>46154</v>
      </c>
      <c r="G498" s="3">
        <f t="shared" si="24"/>
        <v>0</v>
      </c>
      <c r="H498" s="3" t="e">
        <f t="shared" si="25"/>
        <v>#DIV/0!</v>
      </c>
      <c r="I498" s="3" t="e">
        <f t="shared" si="26"/>
        <v>#DIV/0!</v>
      </c>
    </row>
    <row r="499" spans="1:9" x14ac:dyDescent="0.55000000000000004">
      <c r="A499" s="1">
        <v>46155</v>
      </c>
      <c r="G499" s="3">
        <f t="shared" si="24"/>
        <v>0</v>
      </c>
      <c r="H499" s="3" t="e">
        <f t="shared" si="25"/>
        <v>#DIV/0!</v>
      </c>
      <c r="I499" s="3" t="e">
        <f t="shared" si="26"/>
        <v>#DIV/0!</v>
      </c>
    </row>
    <row r="500" spans="1:9" x14ac:dyDescent="0.55000000000000004">
      <c r="A500" s="1">
        <v>46156</v>
      </c>
      <c r="G500" s="3">
        <f t="shared" si="24"/>
        <v>0</v>
      </c>
      <c r="H500" s="3" t="e">
        <f t="shared" si="25"/>
        <v>#DIV/0!</v>
      </c>
      <c r="I500" s="3" t="e">
        <f t="shared" si="26"/>
        <v>#DIV/0!</v>
      </c>
    </row>
    <row r="501" spans="1:9" x14ac:dyDescent="0.55000000000000004">
      <c r="A501" s="1">
        <v>46157</v>
      </c>
      <c r="G501" s="3">
        <f t="shared" si="24"/>
        <v>0</v>
      </c>
      <c r="H501" s="3" t="e">
        <f t="shared" si="25"/>
        <v>#DIV/0!</v>
      </c>
      <c r="I501" s="3" t="e">
        <f t="shared" si="26"/>
        <v>#DIV/0!</v>
      </c>
    </row>
    <row r="502" spans="1:9" x14ac:dyDescent="0.55000000000000004">
      <c r="A502" s="1">
        <v>46158</v>
      </c>
      <c r="G502" s="3">
        <f t="shared" si="24"/>
        <v>0</v>
      </c>
      <c r="H502" s="3" t="e">
        <f t="shared" si="25"/>
        <v>#DIV/0!</v>
      </c>
      <c r="I502" s="3" t="e">
        <f t="shared" si="26"/>
        <v>#DIV/0!</v>
      </c>
    </row>
    <row r="503" spans="1:9" x14ac:dyDescent="0.55000000000000004">
      <c r="A503" s="1">
        <v>46159</v>
      </c>
      <c r="G503" s="3">
        <f t="shared" ref="G503:G566" si="27">C503+D503+E503+F503</f>
        <v>0</v>
      </c>
      <c r="H503" s="3" t="e">
        <f t="shared" ref="H503:H566" si="28">C503/B503</f>
        <v>#DIV/0!</v>
      </c>
      <c r="I503" s="3" t="e">
        <f t="shared" ref="I503:I566" si="29">G503/B503</f>
        <v>#DIV/0!</v>
      </c>
    </row>
    <row r="504" spans="1:9" x14ac:dyDescent="0.55000000000000004">
      <c r="A504" s="1">
        <v>46160</v>
      </c>
      <c r="G504" s="3">
        <f t="shared" si="27"/>
        <v>0</v>
      </c>
      <c r="H504" s="3" t="e">
        <f t="shared" si="28"/>
        <v>#DIV/0!</v>
      </c>
      <c r="I504" s="3" t="e">
        <f t="shared" si="29"/>
        <v>#DIV/0!</v>
      </c>
    </row>
    <row r="505" spans="1:9" x14ac:dyDescent="0.55000000000000004">
      <c r="A505" s="1">
        <v>46161</v>
      </c>
      <c r="G505" s="3">
        <f t="shared" si="27"/>
        <v>0</v>
      </c>
      <c r="H505" s="3" t="e">
        <f t="shared" si="28"/>
        <v>#DIV/0!</v>
      </c>
      <c r="I505" s="3" t="e">
        <f t="shared" si="29"/>
        <v>#DIV/0!</v>
      </c>
    </row>
    <row r="506" spans="1:9" x14ac:dyDescent="0.55000000000000004">
      <c r="A506" s="1">
        <v>46162</v>
      </c>
      <c r="G506" s="3">
        <f t="shared" si="27"/>
        <v>0</v>
      </c>
      <c r="H506" s="3" t="e">
        <f t="shared" si="28"/>
        <v>#DIV/0!</v>
      </c>
      <c r="I506" s="3" t="e">
        <f t="shared" si="29"/>
        <v>#DIV/0!</v>
      </c>
    </row>
    <row r="507" spans="1:9" x14ac:dyDescent="0.55000000000000004">
      <c r="A507" s="1">
        <v>46163</v>
      </c>
      <c r="G507" s="3">
        <f t="shared" si="27"/>
        <v>0</v>
      </c>
      <c r="H507" s="3" t="e">
        <f t="shared" si="28"/>
        <v>#DIV/0!</v>
      </c>
      <c r="I507" s="3" t="e">
        <f t="shared" si="29"/>
        <v>#DIV/0!</v>
      </c>
    </row>
    <row r="508" spans="1:9" x14ac:dyDescent="0.55000000000000004">
      <c r="A508" s="1">
        <v>46164</v>
      </c>
      <c r="G508" s="3">
        <f t="shared" si="27"/>
        <v>0</v>
      </c>
      <c r="H508" s="3" t="e">
        <f t="shared" si="28"/>
        <v>#DIV/0!</v>
      </c>
      <c r="I508" s="3" t="e">
        <f t="shared" si="29"/>
        <v>#DIV/0!</v>
      </c>
    </row>
    <row r="509" spans="1:9" x14ac:dyDescent="0.55000000000000004">
      <c r="A509" s="1">
        <v>46165</v>
      </c>
      <c r="G509" s="3">
        <f t="shared" si="27"/>
        <v>0</v>
      </c>
      <c r="H509" s="3" t="e">
        <f t="shared" si="28"/>
        <v>#DIV/0!</v>
      </c>
      <c r="I509" s="3" t="e">
        <f t="shared" si="29"/>
        <v>#DIV/0!</v>
      </c>
    </row>
    <row r="510" spans="1:9" x14ac:dyDescent="0.55000000000000004">
      <c r="A510" s="1">
        <v>46166</v>
      </c>
      <c r="G510" s="3">
        <f t="shared" si="27"/>
        <v>0</v>
      </c>
      <c r="H510" s="3" t="e">
        <f t="shared" si="28"/>
        <v>#DIV/0!</v>
      </c>
      <c r="I510" s="3" t="e">
        <f t="shared" si="29"/>
        <v>#DIV/0!</v>
      </c>
    </row>
    <row r="511" spans="1:9" x14ac:dyDescent="0.55000000000000004">
      <c r="A511" s="1">
        <v>46167</v>
      </c>
      <c r="G511" s="3">
        <f t="shared" si="27"/>
        <v>0</v>
      </c>
      <c r="H511" s="3" t="e">
        <f t="shared" si="28"/>
        <v>#DIV/0!</v>
      </c>
      <c r="I511" s="3" t="e">
        <f t="shared" si="29"/>
        <v>#DIV/0!</v>
      </c>
    </row>
    <row r="512" spans="1:9" x14ac:dyDescent="0.55000000000000004">
      <c r="A512" s="1">
        <v>46168</v>
      </c>
      <c r="G512" s="3">
        <f t="shared" si="27"/>
        <v>0</v>
      </c>
      <c r="H512" s="3" t="e">
        <f t="shared" si="28"/>
        <v>#DIV/0!</v>
      </c>
      <c r="I512" s="3" t="e">
        <f t="shared" si="29"/>
        <v>#DIV/0!</v>
      </c>
    </row>
    <row r="513" spans="1:9" x14ac:dyDescent="0.55000000000000004">
      <c r="A513" s="1">
        <v>46169</v>
      </c>
      <c r="G513" s="3">
        <f t="shared" si="27"/>
        <v>0</v>
      </c>
      <c r="H513" s="3" t="e">
        <f t="shared" si="28"/>
        <v>#DIV/0!</v>
      </c>
      <c r="I513" s="3" t="e">
        <f t="shared" si="29"/>
        <v>#DIV/0!</v>
      </c>
    </row>
    <row r="514" spans="1:9" x14ac:dyDescent="0.55000000000000004">
      <c r="A514" s="1">
        <v>46170</v>
      </c>
      <c r="G514" s="3">
        <f t="shared" si="27"/>
        <v>0</v>
      </c>
      <c r="H514" s="3" t="e">
        <f t="shared" si="28"/>
        <v>#DIV/0!</v>
      </c>
      <c r="I514" s="3" t="e">
        <f t="shared" si="29"/>
        <v>#DIV/0!</v>
      </c>
    </row>
    <row r="515" spans="1:9" x14ac:dyDescent="0.55000000000000004">
      <c r="A515" s="1">
        <v>46171</v>
      </c>
      <c r="G515" s="3">
        <f t="shared" si="27"/>
        <v>0</v>
      </c>
      <c r="H515" s="3" t="e">
        <f t="shared" si="28"/>
        <v>#DIV/0!</v>
      </c>
      <c r="I515" s="3" t="e">
        <f t="shared" si="29"/>
        <v>#DIV/0!</v>
      </c>
    </row>
    <row r="516" spans="1:9" x14ac:dyDescent="0.55000000000000004">
      <c r="A516" s="1">
        <v>46172</v>
      </c>
      <c r="G516" s="3">
        <f t="shared" si="27"/>
        <v>0</v>
      </c>
      <c r="H516" s="3" t="e">
        <f t="shared" si="28"/>
        <v>#DIV/0!</v>
      </c>
      <c r="I516" s="3" t="e">
        <f t="shared" si="29"/>
        <v>#DIV/0!</v>
      </c>
    </row>
    <row r="517" spans="1:9" x14ac:dyDescent="0.55000000000000004">
      <c r="A517" s="1">
        <v>46173</v>
      </c>
      <c r="G517" s="3">
        <f t="shared" si="27"/>
        <v>0</v>
      </c>
      <c r="H517" s="3" t="e">
        <f t="shared" si="28"/>
        <v>#DIV/0!</v>
      </c>
      <c r="I517" s="3" t="e">
        <f t="shared" si="29"/>
        <v>#DIV/0!</v>
      </c>
    </row>
    <row r="518" spans="1:9" x14ac:dyDescent="0.55000000000000004">
      <c r="A518" s="1">
        <v>46174</v>
      </c>
      <c r="G518" s="3">
        <f t="shared" si="27"/>
        <v>0</v>
      </c>
      <c r="H518" s="3" t="e">
        <f t="shared" si="28"/>
        <v>#DIV/0!</v>
      </c>
      <c r="I518" s="3" t="e">
        <f t="shared" si="29"/>
        <v>#DIV/0!</v>
      </c>
    </row>
    <row r="519" spans="1:9" x14ac:dyDescent="0.55000000000000004">
      <c r="A519" s="1">
        <v>46175</v>
      </c>
      <c r="G519" s="3">
        <f t="shared" si="27"/>
        <v>0</v>
      </c>
      <c r="H519" s="3" t="e">
        <f t="shared" si="28"/>
        <v>#DIV/0!</v>
      </c>
      <c r="I519" s="3" t="e">
        <f t="shared" si="29"/>
        <v>#DIV/0!</v>
      </c>
    </row>
    <row r="520" spans="1:9" x14ac:dyDescent="0.55000000000000004">
      <c r="A520" s="1">
        <v>46176</v>
      </c>
      <c r="G520" s="3">
        <f t="shared" si="27"/>
        <v>0</v>
      </c>
      <c r="H520" s="3" t="e">
        <f t="shared" si="28"/>
        <v>#DIV/0!</v>
      </c>
      <c r="I520" s="3" t="e">
        <f t="shared" si="29"/>
        <v>#DIV/0!</v>
      </c>
    </row>
    <row r="521" spans="1:9" x14ac:dyDescent="0.55000000000000004">
      <c r="A521" s="1">
        <v>46177</v>
      </c>
      <c r="G521" s="3">
        <f t="shared" si="27"/>
        <v>0</v>
      </c>
      <c r="H521" s="3" t="e">
        <f t="shared" si="28"/>
        <v>#DIV/0!</v>
      </c>
      <c r="I521" s="3" t="e">
        <f t="shared" si="29"/>
        <v>#DIV/0!</v>
      </c>
    </row>
    <row r="522" spans="1:9" x14ac:dyDescent="0.55000000000000004">
      <c r="A522" s="1">
        <v>46178</v>
      </c>
      <c r="G522" s="3">
        <f t="shared" si="27"/>
        <v>0</v>
      </c>
      <c r="H522" s="3" t="e">
        <f t="shared" si="28"/>
        <v>#DIV/0!</v>
      </c>
      <c r="I522" s="3" t="e">
        <f t="shared" si="29"/>
        <v>#DIV/0!</v>
      </c>
    </row>
    <row r="523" spans="1:9" x14ac:dyDescent="0.55000000000000004">
      <c r="A523" s="1">
        <v>46179</v>
      </c>
      <c r="G523" s="3">
        <f t="shared" si="27"/>
        <v>0</v>
      </c>
      <c r="H523" s="3" t="e">
        <f t="shared" si="28"/>
        <v>#DIV/0!</v>
      </c>
      <c r="I523" s="3" t="e">
        <f t="shared" si="29"/>
        <v>#DIV/0!</v>
      </c>
    </row>
    <row r="524" spans="1:9" x14ac:dyDescent="0.55000000000000004">
      <c r="A524" s="1">
        <v>46180</v>
      </c>
      <c r="G524" s="3">
        <f t="shared" si="27"/>
        <v>0</v>
      </c>
      <c r="H524" s="3" t="e">
        <f t="shared" si="28"/>
        <v>#DIV/0!</v>
      </c>
      <c r="I524" s="3" t="e">
        <f t="shared" si="29"/>
        <v>#DIV/0!</v>
      </c>
    </row>
    <row r="525" spans="1:9" x14ac:dyDescent="0.55000000000000004">
      <c r="A525" s="1">
        <v>46181</v>
      </c>
      <c r="G525" s="3">
        <f t="shared" si="27"/>
        <v>0</v>
      </c>
      <c r="H525" s="3" t="e">
        <f t="shared" si="28"/>
        <v>#DIV/0!</v>
      </c>
      <c r="I525" s="3" t="e">
        <f t="shared" si="29"/>
        <v>#DIV/0!</v>
      </c>
    </row>
    <row r="526" spans="1:9" x14ac:dyDescent="0.55000000000000004">
      <c r="A526" s="1">
        <v>46182</v>
      </c>
      <c r="G526" s="3">
        <f t="shared" si="27"/>
        <v>0</v>
      </c>
      <c r="H526" s="3" t="e">
        <f t="shared" si="28"/>
        <v>#DIV/0!</v>
      </c>
      <c r="I526" s="3" t="e">
        <f t="shared" si="29"/>
        <v>#DIV/0!</v>
      </c>
    </row>
    <row r="527" spans="1:9" x14ac:dyDescent="0.55000000000000004">
      <c r="A527" s="1">
        <v>46183</v>
      </c>
      <c r="G527" s="3">
        <f t="shared" si="27"/>
        <v>0</v>
      </c>
      <c r="H527" s="3" t="e">
        <f t="shared" si="28"/>
        <v>#DIV/0!</v>
      </c>
      <c r="I527" s="3" t="e">
        <f t="shared" si="29"/>
        <v>#DIV/0!</v>
      </c>
    </row>
    <row r="528" spans="1:9" x14ac:dyDescent="0.55000000000000004">
      <c r="A528" s="1">
        <v>46184</v>
      </c>
      <c r="G528" s="3">
        <f t="shared" si="27"/>
        <v>0</v>
      </c>
      <c r="H528" s="3" t="e">
        <f t="shared" si="28"/>
        <v>#DIV/0!</v>
      </c>
      <c r="I528" s="3" t="e">
        <f t="shared" si="29"/>
        <v>#DIV/0!</v>
      </c>
    </row>
    <row r="529" spans="1:9" x14ac:dyDescent="0.55000000000000004">
      <c r="A529" s="1">
        <v>46185</v>
      </c>
      <c r="G529" s="3">
        <f t="shared" si="27"/>
        <v>0</v>
      </c>
      <c r="H529" s="3" t="e">
        <f t="shared" si="28"/>
        <v>#DIV/0!</v>
      </c>
      <c r="I529" s="3" t="e">
        <f t="shared" si="29"/>
        <v>#DIV/0!</v>
      </c>
    </row>
    <row r="530" spans="1:9" x14ac:dyDescent="0.55000000000000004">
      <c r="A530" s="1">
        <v>46186</v>
      </c>
      <c r="G530" s="3">
        <f t="shared" si="27"/>
        <v>0</v>
      </c>
      <c r="H530" s="3" t="e">
        <f t="shared" si="28"/>
        <v>#DIV/0!</v>
      </c>
      <c r="I530" s="3" t="e">
        <f t="shared" si="29"/>
        <v>#DIV/0!</v>
      </c>
    </row>
    <row r="531" spans="1:9" x14ac:dyDescent="0.55000000000000004">
      <c r="A531" s="1">
        <v>46187</v>
      </c>
      <c r="G531" s="3">
        <f t="shared" si="27"/>
        <v>0</v>
      </c>
      <c r="H531" s="3" t="e">
        <f t="shared" si="28"/>
        <v>#DIV/0!</v>
      </c>
      <c r="I531" s="3" t="e">
        <f t="shared" si="29"/>
        <v>#DIV/0!</v>
      </c>
    </row>
    <row r="532" spans="1:9" x14ac:dyDescent="0.55000000000000004">
      <c r="A532" s="1">
        <v>46188</v>
      </c>
      <c r="G532" s="3">
        <f t="shared" si="27"/>
        <v>0</v>
      </c>
      <c r="H532" s="3" t="e">
        <f t="shared" si="28"/>
        <v>#DIV/0!</v>
      </c>
      <c r="I532" s="3" t="e">
        <f t="shared" si="29"/>
        <v>#DIV/0!</v>
      </c>
    </row>
    <row r="533" spans="1:9" x14ac:dyDescent="0.55000000000000004">
      <c r="A533" s="1">
        <v>46189</v>
      </c>
      <c r="G533" s="3">
        <f t="shared" si="27"/>
        <v>0</v>
      </c>
      <c r="H533" s="3" t="e">
        <f t="shared" si="28"/>
        <v>#DIV/0!</v>
      </c>
      <c r="I533" s="3" t="e">
        <f t="shared" si="29"/>
        <v>#DIV/0!</v>
      </c>
    </row>
    <row r="534" spans="1:9" x14ac:dyDescent="0.55000000000000004">
      <c r="A534" s="1">
        <v>46190</v>
      </c>
      <c r="G534" s="3">
        <f t="shared" si="27"/>
        <v>0</v>
      </c>
      <c r="H534" s="3" t="e">
        <f t="shared" si="28"/>
        <v>#DIV/0!</v>
      </c>
      <c r="I534" s="3" t="e">
        <f t="shared" si="29"/>
        <v>#DIV/0!</v>
      </c>
    </row>
    <row r="535" spans="1:9" x14ac:dyDescent="0.55000000000000004">
      <c r="A535" s="1">
        <v>46191</v>
      </c>
      <c r="G535" s="3">
        <f t="shared" si="27"/>
        <v>0</v>
      </c>
      <c r="H535" s="3" t="e">
        <f t="shared" si="28"/>
        <v>#DIV/0!</v>
      </c>
      <c r="I535" s="3" t="e">
        <f t="shared" si="29"/>
        <v>#DIV/0!</v>
      </c>
    </row>
    <row r="536" spans="1:9" x14ac:dyDescent="0.55000000000000004">
      <c r="A536" s="1">
        <v>46192</v>
      </c>
      <c r="G536" s="3">
        <f t="shared" si="27"/>
        <v>0</v>
      </c>
      <c r="H536" s="3" t="e">
        <f t="shared" si="28"/>
        <v>#DIV/0!</v>
      </c>
      <c r="I536" s="3" t="e">
        <f t="shared" si="29"/>
        <v>#DIV/0!</v>
      </c>
    </row>
    <row r="537" spans="1:9" x14ac:dyDescent="0.55000000000000004">
      <c r="A537" s="1">
        <v>46193</v>
      </c>
      <c r="G537" s="3">
        <f t="shared" si="27"/>
        <v>0</v>
      </c>
      <c r="H537" s="3" t="e">
        <f t="shared" si="28"/>
        <v>#DIV/0!</v>
      </c>
      <c r="I537" s="3" t="e">
        <f t="shared" si="29"/>
        <v>#DIV/0!</v>
      </c>
    </row>
    <row r="538" spans="1:9" x14ac:dyDescent="0.55000000000000004">
      <c r="A538" s="1">
        <v>46194</v>
      </c>
      <c r="G538" s="3">
        <f t="shared" si="27"/>
        <v>0</v>
      </c>
      <c r="H538" s="3" t="e">
        <f t="shared" si="28"/>
        <v>#DIV/0!</v>
      </c>
      <c r="I538" s="3" t="e">
        <f t="shared" si="29"/>
        <v>#DIV/0!</v>
      </c>
    </row>
    <row r="539" spans="1:9" x14ac:dyDescent="0.55000000000000004">
      <c r="A539" s="1">
        <v>46195</v>
      </c>
      <c r="G539" s="3">
        <f t="shared" si="27"/>
        <v>0</v>
      </c>
      <c r="H539" s="3" t="e">
        <f t="shared" si="28"/>
        <v>#DIV/0!</v>
      </c>
      <c r="I539" s="3" t="e">
        <f t="shared" si="29"/>
        <v>#DIV/0!</v>
      </c>
    </row>
    <row r="540" spans="1:9" x14ac:dyDescent="0.55000000000000004">
      <c r="A540" s="1">
        <v>46196</v>
      </c>
      <c r="G540" s="3">
        <f t="shared" si="27"/>
        <v>0</v>
      </c>
      <c r="H540" s="3" t="e">
        <f t="shared" si="28"/>
        <v>#DIV/0!</v>
      </c>
      <c r="I540" s="3" t="e">
        <f t="shared" si="29"/>
        <v>#DIV/0!</v>
      </c>
    </row>
    <row r="541" spans="1:9" x14ac:dyDescent="0.55000000000000004">
      <c r="A541" s="1">
        <v>46197</v>
      </c>
      <c r="G541" s="3">
        <f t="shared" si="27"/>
        <v>0</v>
      </c>
      <c r="H541" s="3" t="e">
        <f t="shared" si="28"/>
        <v>#DIV/0!</v>
      </c>
      <c r="I541" s="3" t="e">
        <f t="shared" si="29"/>
        <v>#DIV/0!</v>
      </c>
    </row>
    <row r="542" spans="1:9" x14ac:dyDescent="0.55000000000000004">
      <c r="A542" s="1">
        <v>46198</v>
      </c>
      <c r="G542" s="3">
        <f t="shared" si="27"/>
        <v>0</v>
      </c>
      <c r="H542" s="3" t="e">
        <f t="shared" si="28"/>
        <v>#DIV/0!</v>
      </c>
      <c r="I542" s="3" t="e">
        <f t="shared" si="29"/>
        <v>#DIV/0!</v>
      </c>
    </row>
    <row r="543" spans="1:9" x14ac:dyDescent="0.55000000000000004">
      <c r="A543" s="1">
        <v>46199</v>
      </c>
      <c r="G543" s="3">
        <f t="shared" si="27"/>
        <v>0</v>
      </c>
      <c r="H543" s="3" t="e">
        <f t="shared" si="28"/>
        <v>#DIV/0!</v>
      </c>
      <c r="I543" s="3" t="e">
        <f t="shared" si="29"/>
        <v>#DIV/0!</v>
      </c>
    </row>
    <row r="544" spans="1:9" x14ac:dyDescent="0.55000000000000004">
      <c r="A544" s="1">
        <v>46200</v>
      </c>
      <c r="G544" s="3">
        <f t="shared" si="27"/>
        <v>0</v>
      </c>
      <c r="H544" s="3" t="e">
        <f t="shared" si="28"/>
        <v>#DIV/0!</v>
      </c>
      <c r="I544" s="3" t="e">
        <f t="shared" si="29"/>
        <v>#DIV/0!</v>
      </c>
    </row>
    <row r="545" spans="1:9" x14ac:dyDescent="0.55000000000000004">
      <c r="A545" s="1">
        <v>46201</v>
      </c>
      <c r="G545" s="3">
        <f t="shared" si="27"/>
        <v>0</v>
      </c>
      <c r="H545" s="3" t="e">
        <f t="shared" si="28"/>
        <v>#DIV/0!</v>
      </c>
      <c r="I545" s="3" t="e">
        <f t="shared" si="29"/>
        <v>#DIV/0!</v>
      </c>
    </row>
    <row r="546" spans="1:9" x14ac:dyDescent="0.55000000000000004">
      <c r="A546" s="1">
        <v>46202</v>
      </c>
      <c r="G546" s="3">
        <f t="shared" si="27"/>
        <v>0</v>
      </c>
      <c r="H546" s="3" t="e">
        <f t="shared" si="28"/>
        <v>#DIV/0!</v>
      </c>
      <c r="I546" s="3" t="e">
        <f t="shared" si="29"/>
        <v>#DIV/0!</v>
      </c>
    </row>
    <row r="547" spans="1:9" x14ac:dyDescent="0.55000000000000004">
      <c r="A547" s="1">
        <v>46203</v>
      </c>
      <c r="G547" s="3">
        <f t="shared" si="27"/>
        <v>0</v>
      </c>
      <c r="H547" s="3" t="e">
        <f t="shared" si="28"/>
        <v>#DIV/0!</v>
      </c>
      <c r="I547" s="3" t="e">
        <f t="shared" si="29"/>
        <v>#DIV/0!</v>
      </c>
    </row>
    <row r="548" spans="1:9" x14ac:dyDescent="0.55000000000000004">
      <c r="A548" s="1">
        <v>46204</v>
      </c>
      <c r="G548" s="3">
        <f t="shared" si="27"/>
        <v>0</v>
      </c>
      <c r="H548" s="3" t="e">
        <f t="shared" si="28"/>
        <v>#DIV/0!</v>
      </c>
      <c r="I548" s="3" t="e">
        <f t="shared" si="29"/>
        <v>#DIV/0!</v>
      </c>
    </row>
    <row r="549" spans="1:9" x14ac:dyDescent="0.55000000000000004">
      <c r="A549" s="1">
        <v>46205</v>
      </c>
      <c r="G549" s="3">
        <f t="shared" si="27"/>
        <v>0</v>
      </c>
      <c r="H549" s="3" t="e">
        <f t="shared" si="28"/>
        <v>#DIV/0!</v>
      </c>
      <c r="I549" s="3" t="e">
        <f t="shared" si="29"/>
        <v>#DIV/0!</v>
      </c>
    </row>
    <row r="550" spans="1:9" x14ac:dyDescent="0.55000000000000004">
      <c r="A550" s="1">
        <v>46206</v>
      </c>
      <c r="G550" s="3">
        <f t="shared" si="27"/>
        <v>0</v>
      </c>
      <c r="H550" s="3" t="e">
        <f t="shared" si="28"/>
        <v>#DIV/0!</v>
      </c>
      <c r="I550" s="3" t="e">
        <f t="shared" si="29"/>
        <v>#DIV/0!</v>
      </c>
    </row>
    <row r="551" spans="1:9" x14ac:dyDescent="0.55000000000000004">
      <c r="A551" s="1">
        <v>46207</v>
      </c>
      <c r="G551" s="3">
        <f t="shared" si="27"/>
        <v>0</v>
      </c>
      <c r="H551" s="3" t="e">
        <f t="shared" si="28"/>
        <v>#DIV/0!</v>
      </c>
      <c r="I551" s="3" t="e">
        <f t="shared" si="29"/>
        <v>#DIV/0!</v>
      </c>
    </row>
    <row r="552" spans="1:9" x14ac:dyDescent="0.55000000000000004">
      <c r="A552" s="1">
        <v>46208</v>
      </c>
      <c r="G552" s="3">
        <f t="shared" si="27"/>
        <v>0</v>
      </c>
      <c r="H552" s="3" t="e">
        <f t="shared" si="28"/>
        <v>#DIV/0!</v>
      </c>
      <c r="I552" s="3" t="e">
        <f t="shared" si="29"/>
        <v>#DIV/0!</v>
      </c>
    </row>
    <row r="553" spans="1:9" x14ac:dyDescent="0.55000000000000004">
      <c r="A553" s="1">
        <v>46209</v>
      </c>
      <c r="G553" s="3">
        <f t="shared" si="27"/>
        <v>0</v>
      </c>
      <c r="H553" s="3" t="e">
        <f t="shared" si="28"/>
        <v>#DIV/0!</v>
      </c>
      <c r="I553" s="3" t="e">
        <f t="shared" si="29"/>
        <v>#DIV/0!</v>
      </c>
    </row>
    <row r="554" spans="1:9" x14ac:dyDescent="0.55000000000000004">
      <c r="A554" s="1">
        <v>46210</v>
      </c>
      <c r="G554" s="3">
        <f t="shared" si="27"/>
        <v>0</v>
      </c>
      <c r="H554" s="3" t="e">
        <f t="shared" si="28"/>
        <v>#DIV/0!</v>
      </c>
      <c r="I554" s="3" t="e">
        <f t="shared" si="29"/>
        <v>#DIV/0!</v>
      </c>
    </row>
    <row r="555" spans="1:9" x14ac:dyDescent="0.55000000000000004">
      <c r="A555" s="1">
        <v>46211</v>
      </c>
      <c r="G555" s="3">
        <f t="shared" si="27"/>
        <v>0</v>
      </c>
      <c r="H555" s="3" t="e">
        <f t="shared" si="28"/>
        <v>#DIV/0!</v>
      </c>
      <c r="I555" s="3" t="e">
        <f t="shared" si="29"/>
        <v>#DIV/0!</v>
      </c>
    </row>
    <row r="556" spans="1:9" x14ac:dyDescent="0.55000000000000004">
      <c r="A556" s="1">
        <v>46212</v>
      </c>
      <c r="G556" s="3">
        <f t="shared" si="27"/>
        <v>0</v>
      </c>
      <c r="H556" s="3" t="e">
        <f t="shared" si="28"/>
        <v>#DIV/0!</v>
      </c>
      <c r="I556" s="3" t="e">
        <f t="shared" si="29"/>
        <v>#DIV/0!</v>
      </c>
    </row>
    <row r="557" spans="1:9" x14ac:dyDescent="0.55000000000000004">
      <c r="A557" s="1">
        <v>46213</v>
      </c>
      <c r="G557" s="3">
        <f t="shared" si="27"/>
        <v>0</v>
      </c>
      <c r="H557" s="3" t="e">
        <f t="shared" si="28"/>
        <v>#DIV/0!</v>
      </c>
      <c r="I557" s="3" t="e">
        <f t="shared" si="29"/>
        <v>#DIV/0!</v>
      </c>
    </row>
    <row r="558" spans="1:9" x14ac:dyDescent="0.55000000000000004">
      <c r="A558" s="1">
        <v>46214</v>
      </c>
      <c r="G558" s="3">
        <f t="shared" si="27"/>
        <v>0</v>
      </c>
      <c r="H558" s="3" t="e">
        <f t="shared" si="28"/>
        <v>#DIV/0!</v>
      </c>
      <c r="I558" s="3" t="e">
        <f t="shared" si="29"/>
        <v>#DIV/0!</v>
      </c>
    </row>
    <row r="559" spans="1:9" x14ac:dyDescent="0.55000000000000004">
      <c r="A559" s="1">
        <v>46215</v>
      </c>
      <c r="G559" s="3">
        <f t="shared" si="27"/>
        <v>0</v>
      </c>
      <c r="H559" s="3" t="e">
        <f t="shared" si="28"/>
        <v>#DIV/0!</v>
      </c>
      <c r="I559" s="3" t="e">
        <f t="shared" si="29"/>
        <v>#DIV/0!</v>
      </c>
    </row>
    <row r="560" spans="1:9" x14ac:dyDescent="0.55000000000000004">
      <c r="A560" s="1">
        <v>46216</v>
      </c>
      <c r="G560" s="3">
        <f t="shared" si="27"/>
        <v>0</v>
      </c>
      <c r="H560" s="3" t="e">
        <f t="shared" si="28"/>
        <v>#DIV/0!</v>
      </c>
      <c r="I560" s="3" t="e">
        <f t="shared" si="29"/>
        <v>#DIV/0!</v>
      </c>
    </row>
    <row r="561" spans="1:9" x14ac:dyDescent="0.55000000000000004">
      <c r="A561" s="1">
        <v>46217</v>
      </c>
      <c r="G561" s="3">
        <f t="shared" si="27"/>
        <v>0</v>
      </c>
      <c r="H561" s="3" t="e">
        <f t="shared" si="28"/>
        <v>#DIV/0!</v>
      </c>
      <c r="I561" s="3" t="e">
        <f t="shared" si="29"/>
        <v>#DIV/0!</v>
      </c>
    </row>
    <row r="562" spans="1:9" x14ac:dyDescent="0.55000000000000004">
      <c r="A562" s="1">
        <v>46218</v>
      </c>
      <c r="G562" s="3">
        <f t="shared" si="27"/>
        <v>0</v>
      </c>
      <c r="H562" s="3" t="e">
        <f t="shared" si="28"/>
        <v>#DIV/0!</v>
      </c>
      <c r="I562" s="3" t="e">
        <f t="shared" si="29"/>
        <v>#DIV/0!</v>
      </c>
    </row>
    <row r="563" spans="1:9" x14ac:dyDescent="0.55000000000000004">
      <c r="A563" s="1">
        <v>46219</v>
      </c>
      <c r="G563" s="3">
        <f t="shared" si="27"/>
        <v>0</v>
      </c>
      <c r="H563" s="3" t="e">
        <f t="shared" si="28"/>
        <v>#DIV/0!</v>
      </c>
      <c r="I563" s="3" t="e">
        <f t="shared" si="29"/>
        <v>#DIV/0!</v>
      </c>
    </row>
    <row r="564" spans="1:9" x14ac:dyDescent="0.55000000000000004">
      <c r="A564" s="1">
        <v>46220</v>
      </c>
      <c r="G564" s="3">
        <f t="shared" si="27"/>
        <v>0</v>
      </c>
      <c r="H564" s="3" t="e">
        <f t="shared" si="28"/>
        <v>#DIV/0!</v>
      </c>
      <c r="I564" s="3" t="e">
        <f t="shared" si="29"/>
        <v>#DIV/0!</v>
      </c>
    </row>
    <row r="565" spans="1:9" x14ac:dyDescent="0.55000000000000004">
      <c r="A565" s="1">
        <v>46221</v>
      </c>
      <c r="G565" s="3">
        <f t="shared" si="27"/>
        <v>0</v>
      </c>
      <c r="H565" s="3" t="e">
        <f t="shared" si="28"/>
        <v>#DIV/0!</v>
      </c>
      <c r="I565" s="3" t="e">
        <f t="shared" si="29"/>
        <v>#DIV/0!</v>
      </c>
    </row>
    <row r="566" spans="1:9" x14ac:dyDescent="0.55000000000000004">
      <c r="A566" s="1">
        <v>46222</v>
      </c>
      <c r="G566" s="3">
        <f t="shared" si="27"/>
        <v>0</v>
      </c>
      <c r="H566" s="3" t="e">
        <f t="shared" si="28"/>
        <v>#DIV/0!</v>
      </c>
      <c r="I566" s="3" t="e">
        <f t="shared" si="29"/>
        <v>#DIV/0!</v>
      </c>
    </row>
    <row r="567" spans="1:9" x14ac:dyDescent="0.55000000000000004">
      <c r="A567" s="1">
        <v>46223</v>
      </c>
      <c r="G567" s="3">
        <f t="shared" ref="G567:G630" si="30">C567+D567+E567+F567</f>
        <v>0</v>
      </c>
      <c r="H567" s="3" t="e">
        <f t="shared" ref="H567:H630" si="31">C567/B567</f>
        <v>#DIV/0!</v>
      </c>
      <c r="I567" s="3" t="e">
        <f t="shared" ref="I567:I630" si="32">G567/B567</f>
        <v>#DIV/0!</v>
      </c>
    </row>
    <row r="568" spans="1:9" x14ac:dyDescent="0.55000000000000004">
      <c r="A568" s="1">
        <v>46224</v>
      </c>
      <c r="G568" s="3">
        <f t="shared" si="30"/>
        <v>0</v>
      </c>
      <c r="H568" s="3" t="e">
        <f t="shared" si="31"/>
        <v>#DIV/0!</v>
      </c>
      <c r="I568" s="3" t="e">
        <f t="shared" si="32"/>
        <v>#DIV/0!</v>
      </c>
    </row>
    <row r="569" spans="1:9" x14ac:dyDescent="0.55000000000000004">
      <c r="A569" s="1">
        <v>46225</v>
      </c>
      <c r="G569" s="3">
        <f t="shared" si="30"/>
        <v>0</v>
      </c>
      <c r="H569" s="3" t="e">
        <f t="shared" si="31"/>
        <v>#DIV/0!</v>
      </c>
      <c r="I569" s="3" t="e">
        <f t="shared" si="32"/>
        <v>#DIV/0!</v>
      </c>
    </row>
    <row r="570" spans="1:9" x14ac:dyDescent="0.55000000000000004">
      <c r="A570" s="1">
        <v>46226</v>
      </c>
      <c r="G570" s="3">
        <f t="shared" si="30"/>
        <v>0</v>
      </c>
      <c r="H570" s="3" t="e">
        <f t="shared" si="31"/>
        <v>#DIV/0!</v>
      </c>
      <c r="I570" s="3" t="e">
        <f t="shared" si="32"/>
        <v>#DIV/0!</v>
      </c>
    </row>
    <row r="571" spans="1:9" x14ac:dyDescent="0.55000000000000004">
      <c r="A571" s="1">
        <v>46227</v>
      </c>
      <c r="G571" s="3">
        <f t="shared" si="30"/>
        <v>0</v>
      </c>
      <c r="H571" s="3" t="e">
        <f t="shared" si="31"/>
        <v>#DIV/0!</v>
      </c>
      <c r="I571" s="3" t="e">
        <f t="shared" si="32"/>
        <v>#DIV/0!</v>
      </c>
    </row>
    <row r="572" spans="1:9" x14ac:dyDescent="0.55000000000000004">
      <c r="A572" s="1">
        <v>46228</v>
      </c>
      <c r="G572" s="3">
        <f t="shared" si="30"/>
        <v>0</v>
      </c>
      <c r="H572" s="3" t="e">
        <f t="shared" si="31"/>
        <v>#DIV/0!</v>
      </c>
      <c r="I572" s="3" t="e">
        <f t="shared" si="32"/>
        <v>#DIV/0!</v>
      </c>
    </row>
    <row r="573" spans="1:9" x14ac:dyDescent="0.55000000000000004">
      <c r="A573" s="1">
        <v>46229</v>
      </c>
      <c r="G573" s="3">
        <f t="shared" si="30"/>
        <v>0</v>
      </c>
      <c r="H573" s="3" t="e">
        <f t="shared" si="31"/>
        <v>#DIV/0!</v>
      </c>
      <c r="I573" s="3" t="e">
        <f t="shared" si="32"/>
        <v>#DIV/0!</v>
      </c>
    </row>
    <row r="574" spans="1:9" x14ac:dyDescent="0.55000000000000004">
      <c r="A574" s="1">
        <v>46230</v>
      </c>
      <c r="G574" s="3">
        <f t="shared" si="30"/>
        <v>0</v>
      </c>
      <c r="H574" s="3" t="e">
        <f t="shared" si="31"/>
        <v>#DIV/0!</v>
      </c>
      <c r="I574" s="3" t="e">
        <f t="shared" si="32"/>
        <v>#DIV/0!</v>
      </c>
    </row>
    <row r="575" spans="1:9" x14ac:dyDescent="0.55000000000000004">
      <c r="A575" s="1">
        <v>46231</v>
      </c>
      <c r="G575" s="3">
        <f t="shared" si="30"/>
        <v>0</v>
      </c>
      <c r="H575" s="3" t="e">
        <f t="shared" si="31"/>
        <v>#DIV/0!</v>
      </c>
      <c r="I575" s="3" t="e">
        <f t="shared" si="32"/>
        <v>#DIV/0!</v>
      </c>
    </row>
    <row r="576" spans="1:9" x14ac:dyDescent="0.55000000000000004">
      <c r="A576" s="1">
        <v>46232</v>
      </c>
      <c r="G576" s="3">
        <f t="shared" si="30"/>
        <v>0</v>
      </c>
      <c r="H576" s="3" t="e">
        <f t="shared" si="31"/>
        <v>#DIV/0!</v>
      </c>
      <c r="I576" s="3" t="e">
        <f t="shared" si="32"/>
        <v>#DIV/0!</v>
      </c>
    </row>
    <row r="577" spans="1:9" x14ac:dyDescent="0.55000000000000004">
      <c r="A577" s="1">
        <v>46233</v>
      </c>
      <c r="G577" s="3">
        <f t="shared" si="30"/>
        <v>0</v>
      </c>
      <c r="H577" s="3" t="e">
        <f t="shared" si="31"/>
        <v>#DIV/0!</v>
      </c>
      <c r="I577" s="3" t="e">
        <f t="shared" si="32"/>
        <v>#DIV/0!</v>
      </c>
    </row>
    <row r="578" spans="1:9" x14ac:dyDescent="0.55000000000000004">
      <c r="A578" s="1">
        <v>46234</v>
      </c>
      <c r="G578" s="3">
        <f t="shared" si="30"/>
        <v>0</v>
      </c>
      <c r="H578" s="3" t="e">
        <f t="shared" si="31"/>
        <v>#DIV/0!</v>
      </c>
      <c r="I578" s="3" t="e">
        <f t="shared" si="32"/>
        <v>#DIV/0!</v>
      </c>
    </row>
    <row r="579" spans="1:9" x14ac:dyDescent="0.55000000000000004">
      <c r="A579" s="1">
        <v>46235</v>
      </c>
      <c r="G579" s="3">
        <f t="shared" si="30"/>
        <v>0</v>
      </c>
      <c r="H579" s="3" t="e">
        <f t="shared" si="31"/>
        <v>#DIV/0!</v>
      </c>
      <c r="I579" s="3" t="e">
        <f t="shared" si="32"/>
        <v>#DIV/0!</v>
      </c>
    </row>
    <row r="580" spans="1:9" x14ac:dyDescent="0.55000000000000004">
      <c r="A580" s="1">
        <v>46236</v>
      </c>
      <c r="G580" s="3">
        <f t="shared" si="30"/>
        <v>0</v>
      </c>
      <c r="H580" s="3" t="e">
        <f t="shared" si="31"/>
        <v>#DIV/0!</v>
      </c>
      <c r="I580" s="3" t="e">
        <f t="shared" si="32"/>
        <v>#DIV/0!</v>
      </c>
    </row>
    <row r="581" spans="1:9" x14ac:dyDescent="0.55000000000000004">
      <c r="A581" s="1">
        <v>46237</v>
      </c>
      <c r="G581" s="3">
        <f t="shared" si="30"/>
        <v>0</v>
      </c>
      <c r="H581" s="3" t="e">
        <f t="shared" si="31"/>
        <v>#DIV/0!</v>
      </c>
      <c r="I581" s="3" t="e">
        <f t="shared" si="32"/>
        <v>#DIV/0!</v>
      </c>
    </row>
    <row r="582" spans="1:9" x14ac:dyDescent="0.55000000000000004">
      <c r="A582" s="1">
        <v>46238</v>
      </c>
      <c r="G582" s="3">
        <f t="shared" si="30"/>
        <v>0</v>
      </c>
      <c r="H582" s="3" t="e">
        <f t="shared" si="31"/>
        <v>#DIV/0!</v>
      </c>
      <c r="I582" s="3" t="e">
        <f t="shared" si="32"/>
        <v>#DIV/0!</v>
      </c>
    </row>
    <row r="583" spans="1:9" x14ac:dyDescent="0.55000000000000004">
      <c r="A583" s="1">
        <v>46239</v>
      </c>
      <c r="G583" s="3">
        <f t="shared" si="30"/>
        <v>0</v>
      </c>
      <c r="H583" s="3" t="e">
        <f t="shared" si="31"/>
        <v>#DIV/0!</v>
      </c>
      <c r="I583" s="3" t="e">
        <f t="shared" si="32"/>
        <v>#DIV/0!</v>
      </c>
    </row>
    <row r="584" spans="1:9" x14ac:dyDescent="0.55000000000000004">
      <c r="A584" s="1">
        <v>46240</v>
      </c>
      <c r="G584" s="3">
        <f t="shared" si="30"/>
        <v>0</v>
      </c>
      <c r="H584" s="3" t="e">
        <f t="shared" si="31"/>
        <v>#DIV/0!</v>
      </c>
      <c r="I584" s="3" t="e">
        <f t="shared" si="32"/>
        <v>#DIV/0!</v>
      </c>
    </row>
    <row r="585" spans="1:9" x14ac:dyDescent="0.55000000000000004">
      <c r="A585" s="1">
        <v>46241</v>
      </c>
      <c r="G585" s="3">
        <f t="shared" si="30"/>
        <v>0</v>
      </c>
      <c r="H585" s="3" t="e">
        <f t="shared" si="31"/>
        <v>#DIV/0!</v>
      </c>
      <c r="I585" s="3" t="e">
        <f t="shared" si="32"/>
        <v>#DIV/0!</v>
      </c>
    </row>
    <row r="586" spans="1:9" x14ac:dyDescent="0.55000000000000004">
      <c r="A586" s="1">
        <v>46242</v>
      </c>
      <c r="G586" s="3">
        <f t="shared" si="30"/>
        <v>0</v>
      </c>
      <c r="H586" s="3" t="e">
        <f t="shared" si="31"/>
        <v>#DIV/0!</v>
      </c>
      <c r="I586" s="3" t="e">
        <f t="shared" si="32"/>
        <v>#DIV/0!</v>
      </c>
    </row>
    <row r="587" spans="1:9" x14ac:dyDescent="0.55000000000000004">
      <c r="A587" s="1">
        <v>46243</v>
      </c>
      <c r="G587" s="3">
        <f t="shared" si="30"/>
        <v>0</v>
      </c>
      <c r="H587" s="3" t="e">
        <f t="shared" si="31"/>
        <v>#DIV/0!</v>
      </c>
      <c r="I587" s="3" t="e">
        <f t="shared" si="32"/>
        <v>#DIV/0!</v>
      </c>
    </row>
    <row r="588" spans="1:9" x14ac:dyDescent="0.55000000000000004">
      <c r="A588" s="1">
        <v>46244</v>
      </c>
      <c r="G588" s="3">
        <f t="shared" si="30"/>
        <v>0</v>
      </c>
      <c r="H588" s="3" t="e">
        <f t="shared" si="31"/>
        <v>#DIV/0!</v>
      </c>
      <c r="I588" s="3" t="e">
        <f t="shared" si="32"/>
        <v>#DIV/0!</v>
      </c>
    </row>
    <row r="589" spans="1:9" x14ac:dyDescent="0.55000000000000004">
      <c r="A589" s="1">
        <v>46245</v>
      </c>
      <c r="G589" s="3">
        <f t="shared" si="30"/>
        <v>0</v>
      </c>
      <c r="H589" s="3" t="e">
        <f t="shared" si="31"/>
        <v>#DIV/0!</v>
      </c>
      <c r="I589" s="3" t="e">
        <f t="shared" si="32"/>
        <v>#DIV/0!</v>
      </c>
    </row>
    <row r="590" spans="1:9" x14ac:dyDescent="0.55000000000000004">
      <c r="A590" s="1">
        <v>46246</v>
      </c>
      <c r="G590" s="3">
        <f t="shared" si="30"/>
        <v>0</v>
      </c>
      <c r="H590" s="3" t="e">
        <f t="shared" si="31"/>
        <v>#DIV/0!</v>
      </c>
      <c r="I590" s="3" t="e">
        <f t="shared" si="32"/>
        <v>#DIV/0!</v>
      </c>
    </row>
    <row r="591" spans="1:9" x14ac:dyDescent="0.55000000000000004">
      <c r="A591" s="1">
        <v>46247</v>
      </c>
      <c r="G591" s="3">
        <f t="shared" si="30"/>
        <v>0</v>
      </c>
      <c r="H591" s="3" t="e">
        <f t="shared" si="31"/>
        <v>#DIV/0!</v>
      </c>
      <c r="I591" s="3" t="e">
        <f t="shared" si="32"/>
        <v>#DIV/0!</v>
      </c>
    </row>
    <row r="592" spans="1:9" x14ac:dyDescent="0.55000000000000004">
      <c r="A592" s="1">
        <v>46248</v>
      </c>
      <c r="G592" s="3">
        <f t="shared" si="30"/>
        <v>0</v>
      </c>
      <c r="H592" s="3" t="e">
        <f t="shared" si="31"/>
        <v>#DIV/0!</v>
      </c>
      <c r="I592" s="3" t="e">
        <f t="shared" si="32"/>
        <v>#DIV/0!</v>
      </c>
    </row>
    <row r="593" spans="1:9" x14ac:dyDescent="0.55000000000000004">
      <c r="A593" s="1">
        <v>46249</v>
      </c>
      <c r="G593" s="3">
        <f t="shared" si="30"/>
        <v>0</v>
      </c>
      <c r="H593" s="3" t="e">
        <f t="shared" si="31"/>
        <v>#DIV/0!</v>
      </c>
      <c r="I593" s="3" t="e">
        <f t="shared" si="32"/>
        <v>#DIV/0!</v>
      </c>
    </row>
    <row r="594" spans="1:9" x14ac:dyDescent="0.55000000000000004">
      <c r="A594" s="1">
        <v>46250</v>
      </c>
      <c r="G594" s="3">
        <f t="shared" si="30"/>
        <v>0</v>
      </c>
      <c r="H594" s="3" t="e">
        <f t="shared" si="31"/>
        <v>#DIV/0!</v>
      </c>
      <c r="I594" s="3" t="e">
        <f t="shared" si="32"/>
        <v>#DIV/0!</v>
      </c>
    </row>
    <row r="595" spans="1:9" x14ac:dyDescent="0.55000000000000004">
      <c r="A595" s="1">
        <v>46251</v>
      </c>
      <c r="G595" s="3">
        <f t="shared" si="30"/>
        <v>0</v>
      </c>
      <c r="H595" s="3" t="e">
        <f t="shared" si="31"/>
        <v>#DIV/0!</v>
      </c>
      <c r="I595" s="3" t="e">
        <f t="shared" si="32"/>
        <v>#DIV/0!</v>
      </c>
    </row>
    <row r="596" spans="1:9" x14ac:dyDescent="0.55000000000000004">
      <c r="A596" s="1">
        <v>46252</v>
      </c>
      <c r="G596" s="3">
        <f t="shared" si="30"/>
        <v>0</v>
      </c>
      <c r="H596" s="3" t="e">
        <f t="shared" si="31"/>
        <v>#DIV/0!</v>
      </c>
      <c r="I596" s="3" t="e">
        <f t="shared" si="32"/>
        <v>#DIV/0!</v>
      </c>
    </row>
    <row r="597" spans="1:9" x14ac:dyDescent="0.55000000000000004">
      <c r="A597" s="1">
        <v>46253</v>
      </c>
      <c r="G597" s="3">
        <f t="shared" si="30"/>
        <v>0</v>
      </c>
      <c r="H597" s="3" t="e">
        <f t="shared" si="31"/>
        <v>#DIV/0!</v>
      </c>
      <c r="I597" s="3" t="e">
        <f t="shared" si="32"/>
        <v>#DIV/0!</v>
      </c>
    </row>
    <row r="598" spans="1:9" x14ac:dyDescent="0.55000000000000004">
      <c r="A598" s="1">
        <v>46254</v>
      </c>
      <c r="G598" s="3">
        <f t="shared" si="30"/>
        <v>0</v>
      </c>
      <c r="H598" s="3" t="e">
        <f t="shared" si="31"/>
        <v>#DIV/0!</v>
      </c>
      <c r="I598" s="3" t="e">
        <f t="shared" si="32"/>
        <v>#DIV/0!</v>
      </c>
    </row>
    <row r="599" spans="1:9" x14ac:dyDescent="0.55000000000000004">
      <c r="A599" s="1">
        <v>46255</v>
      </c>
      <c r="G599" s="3">
        <f t="shared" si="30"/>
        <v>0</v>
      </c>
      <c r="H599" s="3" t="e">
        <f t="shared" si="31"/>
        <v>#DIV/0!</v>
      </c>
      <c r="I599" s="3" t="e">
        <f t="shared" si="32"/>
        <v>#DIV/0!</v>
      </c>
    </row>
    <row r="600" spans="1:9" x14ac:dyDescent="0.55000000000000004">
      <c r="A600" s="1">
        <v>46256</v>
      </c>
      <c r="G600" s="3">
        <f t="shared" si="30"/>
        <v>0</v>
      </c>
      <c r="H600" s="3" t="e">
        <f t="shared" si="31"/>
        <v>#DIV/0!</v>
      </c>
      <c r="I600" s="3" t="e">
        <f t="shared" si="32"/>
        <v>#DIV/0!</v>
      </c>
    </row>
    <row r="601" spans="1:9" x14ac:dyDescent="0.55000000000000004">
      <c r="A601" s="1">
        <v>46257</v>
      </c>
      <c r="G601" s="3">
        <f t="shared" si="30"/>
        <v>0</v>
      </c>
      <c r="H601" s="3" t="e">
        <f t="shared" si="31"/>
        <v>#DIV/0!</v>
      </c>
      <c r="I601" s="3" t="e">
        <f t="shared" si="32"/>
        <v>#DIV/0!</v>
      </c>
    </row>
    <row r="602" spans="1:9" x14ac:dyDescent="0.55000000000000004">
      <c r="A602" s="1">
        <v>46258</v>
      </c>
      <c r="G602" s="3">
        <f t="shared" si="30"/>
        <v>0</v>
      </c>
      <c r="H602" s="3" t="e">
        <f t="shared" si="31"/>
        <v>#DIV/0!</v>
      </c>
      <c r="I602" s="3" t="e">
        <f t="shared" si="32"/>
        <v>#DIV/0!</v>
      </c>
    </row>
    <row r="603" spans="1:9" x14ac:dyDescent="0.55000000000000004">
      <c r="A603" s="1">
        <v>46259</v>
      </c>
      <c r="G603" s="3">
        <f t="shared" si="30"/>
        <v>0</v>
      </c>
      <c r="H603" s="3" t="e">
        <f t="shared" si="31"/>
        <v>#DIV/0!</v>
      </c>
      <c r="I603" s="3" t="e">
        <f t="shared" si="32"/>
        <v>#DIV/0!</v>
      </c>
    </row>
    <row r="604" spans="1:9" x14ac:dyDescent="0.55000000000000004">
      <c r="A604" s="1">
        <v>46260</v>
      </c>
      <c r="G604" s="3">
        <f t="shared" si="30"/>
        <v>0</v>
      </c>
      <c r="H604" s="3" t="e">
        <f t="shared" si="31"/>
        <v>#DIV/0!</v>
      </c>
      <c r="I604" s="3" t="e">
        <f t="shared" si="32"/>
        <v>#DIV/0!</v>
      </c>
    </row>
    <row r="605" spans="1:9" x14ac:dyDescent="0.55000000000000004">
      <c r="A605" s="1">
        <v>46261</v>
      </c>
      <c r="G605" s="3">
        <f t="shared" si="30"/>
        <v>0</v>
      </c>
      <c r="H605" s="3" t="e">
        <f t="shared" si="31"/>
        <v>#DIV/0!</v>
      </c>
      <c r="I605" s="3" t="e">
        <f t="shared" si="32"/>
        <v>#DIV/0!</v>
      </c>
    </row>
    <row r="606" spans="1:9" x14ac:dyDescent="0.55000000000000004">
      <c r="A606" s="1">
        <v>46262</v>
      </c>
      <c r="G606" s="3">
        <f t="shared" si="30"/>
        <v>0</v>
      </c>
      <c r="H606" s="3" t="e">
        <f t="shared" si="31"/>
        <v>#DIV/0!</v>
      </c>
      <c r="I606" s="3" t="e">
        <f t="shared" si="32"/>
        <v>#DIV/0!</v>
      </c>
    </row>
    <row r="607" spans="1:9" x14ac:dyDescent="0.55000000000000004">
      <c r="A607" s="1">
        <v>46263</v>
      </c>
      <c r="G607" s="3">
        <f t="shared" si="30"/>
        <v>0</v>
      </c>
      <c r="H607" s="3" t="e">
        <f t="shared" si="31"/>
        <v>#DIV/0!</v>
      </c>
      <c r="I607" s="3" t="e">
        <f t="shared" si="32"/>
        <v>#DIV/0!</v>
      </c>
    </row>
    <row r="608" spans="1:9" x14ac:dyDescent="0.55000000000000004">
      <c r="A608" s="1">
        <v>46264</v>
      </c>
      <c r="G608" s="3">
        <f t="shared" si="30"/>
        <v>0</v>
      </c>
      <c r="H608" s="3" t="e">
        <f t="shared" si="31"/>
        <v>#DIV/0!</v>
      </c>
      <c r="I608" s="3" t="e">
        <f t="shared" si="32"/>
        <v>#DIV/0!</v>
      </c>
    </row>
    <row r="609" spans="1:9" x14ac:dyDescent="0.55000000000000004">
      <c r="A609" s="1">
        <v>46265</v>
      </c>
      <c r="G609" s="3">
        <f t="shared" si="30"/>
        <v>0</v>
      </c>
      <c r="H609" s="3" t="e">
        <f t="shared" si="31"/>
        <v>#DIV/0!</v>
      </c>
      <c r="I609" s="3" t="e">
        <f t="shared" si="32"/>
        <v>#DIV/0!</v>
      </c>
    </row>
    <row r="610" spans="1:9" x14ac:dyDescent="0.55000000000000004">
      <c r="A610" s="1">
        <v>46266</v>
      </c>
      <c r="G610" s="3">
        <f t="shared" si="30"/>
        <v>0</v>
      </c>
      <c r="H610" s="3" t="e">
        <f t="shared" si="31"/>
        <v>#DIV/0!</v>
      </c>
      <c r="I610" s="3" t="e">
        <f t="shared" si="32"/>
        <v>#DIV/0!</v>
      </c>
    </row>
    <row r="611" spans="1:9" x14ac:dyDescent="0.55000000000000004">
      <c r="A611" s="1">
        <v>46267</v>
      </c>
      <c r="G611" s="3">
        <f t="shared" si="30"/>
        <v>0</v>
      </c>
      <c r="H611" s="3" t="e">
        <f t="shared" si="31"/>
        <v>#DIV/0!</v>
      </c>
      <c r="I611" s="3" t="e">
        <f t="shared" si="32"/>
        <v>#DIV/0!</v>
      </c>
    </row>
    <row r="612" spans="1:9" x14ac:dyDescent="0.55000000000000004">
      <c r="A612" s="1">
        <v>46268</v>
      </c>
      <c r="G612" s="3">
        <f t="shared" si="30"/>
        <v>0</v>
      </c>
      <c r="H612" s="3" t="e">
        <f t="shared" si="31"/>
        <v>#DIV/0!</v>
      </c>
      <c r="I612" s="3" t="e">
        <f t="shared" si="32"/>
        <v>#DIV/0!</v>
      </c>
    </row>
    <row r="613" spans="1:9" x14ac:dyDescent="0.55000000000000004">
      <c r="A613" s="1">
        <v>46269</v>
      </c>
      <c r="G613" s="3">
        <f t="shared" si="30"/>
        <v>0</v>
      </c>
      <c r="H613" s="3" t="e">
        <f t="shared" si="31"/>
        <v>#DIV/0!</v>
      </c>
      <c r="I613" s="3" t="e">
        <f t="shared" si="32"/>
        <v>#DIV/0!</v>
      </c>
    </row>
    <row r="614" spans="1:9" x14ac:dyDescent="0.55000000000000004">
      <c r="A614" s="1">
        <v>46270</v>
      </c>
      <c r="G614" s="3">
        <f t="shared" si="30"/>
        <v>0</v>
      </c>
      <c r="H614" s="3" t="e">
        <f t="shared" si="31"/>
        <v>#DIV/0!</v>
      </c>
      <c r="I614" s="3" t="e">
        <f t="shared" si="32"/>
        <v>#DIV/0!</v>
      </c>
    </row>
    <row r="615" spans="1:9" x14ac:dyDescent="0.55000000000000004">
      <c r="A615" s="1">
        <v>46271</v>
      </c>
      <c r="G615" s="3">
        <f t="shared" si="30"/>
        <v>0</v>
      </c>
      <c r="H615" s="3" t="e">
        <f t="shared" si="31"/>
        <v>#DIV/0!</v>
      </c>
      <c r="I615" s="3" t="e">
        <f t="shared" si="32"/>
        <v>#DIV/0!</v>
      </c>
    </row>
    <row r="616" spans="1:9" x14ac:dyDescent="0.55000000000000004">
      <c r="A616" s="1">
        <v>46272</v>
      </c>
      <c r="G616" s="3">
        <f t="shared" si="30"/>
        <v>0</v>
      </c>
      <c r="H616" s="3" t="e">
        <f t="shared" si="31"/>
        <v>#DIV/0!</v>
      </c>
      <c r="I616" s="3" t="e">
        <f t="shared" si="32"/>
        <v>#DIV/0!</v>
      </c>
    </row>
    <row r="617" spans="1:9" x14ac:dyDescent="0.55000000000000004">
      <c r="A617" s="1">
        <v>46273</v>
      </c>
      <c r="G617" s="3">
        <f t="shared" si="30"/>
        <v>0</v>
      </c>
      <c r="H617" s="3" t="e">
        <f t="shared" si="31"/>
        <v>#DIV/0!</v>
      </c>
      <c r="I617" s="3" t="e">
        <f t="shared" si="32"/>
        <v>#DIV/0!</v>
      </c>
    </row>
    <row r="618" spans="1:9" x14ac:dyDescent="0.55000000000000004">
      <c r="A618" s="1">
        <v>46274</v>
      </c>
      <c r="G618" s="3">
        <f t="shared" si="30"/>
        <v>0</v>
      </c>
      <c r="H618" s="3" t="e">
        <f t="shared" si="31"/>
        <v>#DIV/0!</v>
      </c>
      <c r="I618" s="3" t="e">
        <f t="shared" si="32"/>
        <v>#DIV/0!</v>
      </c>
    </row>
    <row r="619" spans="1:9" x14ac:dyDescent="0.55000000000000004">
      <c r="A619" s="1">
        <v>46275</v>
      </c>
      <c r="G619" s="3">
        <f t="shared" si="30"/>
        <v>0</v>
      </c>
      <c r="H619" s="3" t="e">
        <f t="shared" si="31"/>
        <v>#DIV/0!</v>
      </c>
      <c r="I619" s="3" t="e">
        <f t="shared" si="32"/>
        <v>#DIV/0!</v>
      </c>
    </row>
    <row r="620" spans="1:9" x14ac:dyDescent="0.55000000000000004">
      <c r="A620" s="1">
        <v>46276</v>
      </c>
      <c r="G620" s="3">
        <f t="shared" si="30"/>
        <v>0</v>
      </c>
      <c r="H620" s="3" t="e">
        <f t="shared" si="31"/>
        <v>#DIV/0!</v>
      </c>
      <c r="I620" s="3" t="e">
        <f t="shared" si="32"/>
        <v>#DIV/0!</v>
      </c>
    </row>
    <row r="621" spans="1:9" x14ac:dyDescent="0.55000000000000004">
      <c r="A621" s="1">
        <v>46277</v>
      </c>
      <c r="G621" s="3">
        <f t="shared" si="30"/>
        <v>0</v>
      </c>
      <c r="H621" s="3" t="e">
        <f t="shared" si="31"/>
        <v>#DIV/0!</v>
      </c>
      <c r="I621" s="3" t="e">
        <f t="shared" si="32"/>
        <v>#DIV/0!</v>
      </c>
    </row>
    <row r="622" spans="1:9" x14ac:dyDescent="0.55000000000000004">
      <c r="A622" s="1">
        <v>46278</v>
      </c>
      <c r="G622" s="3">
        <f t="shared" si="30"/>
        <v>0</v>
      </c>
      <c r="H622" s="3" t="e">
        <f t="shared" si="31"/>
        <v>#DIV/0!</v>
      </c>
      <c r="I622" s="3" t="e">
        <f t="shared" si="32"/>
        <v>#DIV/0!</v>
      </c>
    </row>
    <row r="623" spans="1:9" x14ac:dyDescent="0.55000000000000004">
      <c r="A623" s="1">
        <v>46279</v>
      </c>
      <c r="G623" s="3">
        <f t="shared" si="30"/>
        <v>0</v>
      </c>
      <c r="H623" s="3" t="e">
        <f t="shared" si="31"/>
        <v>#DIV/0!</v>
      </c>
      <c r="I623" s="3" t="e">
        <f t="shared" si="32"/>
        <v>#DIV/0!</v>
      </c>
    </row>
    <row r="624" spans="1:9" x14ac:dyDescent="0.55000000000000004">
      <c r="A624" s="1">
        <v>46280</v>
      </c>
      <c r="G624" s="3">
        <f t="shared" si="30"/>
        <v>0</v>
      </c>
      <c r="H624" s="3" t="e">
        <f t="shared" si="31"/>
        <v>#DIV/0!</v>
      </c>
      <c r="I624" s="3" t="e">
        <f t="shared" si="32"/>
        <v>#DIV/0!</v>
      </c>
    </row>
    <row r="625" spans="1:9" x14ac:dyDescent="0.55000000000000004">
      <c r="A625" s="1">
        <v>46281</v>
      </c>
      <c r="G625" s="3">
        <f t="shared" si="30"/>
        <v>0</v>
      </c>
      <c r="H625" s="3" t="e">
        <f t="shared" si="31"/>
        <v>#DIV/0!</v>
      </c>
      <c r="I625" s="3" t="e">
        <f t="shared" si="32"/>
        <v>#DIV/0!</v>
      </c>
    </row>
    <row r="626" spans="1:9" x14ac:dyDescent="0.55000000000000004">
      <c r="A626" s="1">
        <v>46282</v>
      </c>
      <c r="G626" s="3">
        <f t="shared" si="30"/>
        <v>0</v>
      </c>
      <c r="H626" s="3" t="e">
        <f t="shared" si="31"/>
        <v>#DIV/0!</v>
      </c>
      <c r="I626" s="3" t="e">
        <f t="shared" si="32"/>
        <v>#DIV/0!</v>
      </c>
    </row>
    <row r="627" spans="1:9" x14ac:dyDescent="0.55000000000000004">
      <c r="A627" s="1">
        <v>46283</v>
      </c>
      <c r="G627" s="3">
        <f t="shared" si="30"/>
        <v>0</v>
      </c>
      <c r="H627" s="3" t="e">
        <f t="shared" si="31"/>
        <v>#DIV/0!</v>
      </c>
      <c r="I627" s="3" t="e">
        <f t="shared" si="32"/>
        <v>#DIV/0!</v>
      </c>
    </row>
    <row r="628" spans="1:9" x14ac:dyDescent="0.55000000000000004">
      <c r="A628" s="1">
        <v>46284</v>
      </c>
      <c r="G628" s="3">
        <f t="shared" si="30"/>
        <v>0</v>
      </c>
      <c r="H628" s="3" t="e">
        <f t="shared" si="31"/>
        <v>#DIV/0!</v>
      </c>
      <c r="I628" s="3" t="e">
        <f t="shared" si="32"/>
        <v>#DIV/0!</v>
      </c>
    </row>
    <row r="629" spans="1:9" x14ac:dyDescent="0.55000000000000004">
      <c r="A629" s="1">
        <v>46285</v>
      </c>
      <c r="G629" s="3">
        <f t="shared" si="30"/>
        <v>0</v>
      </c>
      <c r="H629" s="3" t="e">
        <f t="shared" si="31"/>
        <v>#DIV/0!</v>
      </c>
      <c r="I629" s="3" t="e">
        <f t="shared" si="32"/>
        <v>#DIV/0!</v>
      </c>
    </row>
    <row r="630" spans="1:9" x14ac:dyDescent="0.55000000000000004">
      <c r="A630" s="1">
        <v>46286</v>
      </c>
      <c r="G630" s="3">
        <f t="shared" si="30"/>
        <v>0</v>
      </c>
      <c r="H630" s="3" t="e">
        <f t="shared" si="31"/>
        <v>#DIV/0!</v>
      </c>
      <c r="I630" s="3" t="e">
        <f t="shared" si="32"/>
        <v>#DIV/0!</v>
      </c>
    </row>
    <row r="631" spans="1:9" x14ac:dyDescent="0.55000000000000004">
      <c r="A631" s="1">
        <v>46287</v>
      </c>
      <c r="G631" s="3">
        <f t="shared" ref="G631:G694" si="33">C631+D631+E631+F631</f>
        <v>0</v>
      </c>
      <c r="H631" s="3" t="e">
        <f t="shared" ref="H631:H694" si="34">C631/B631</f>
        <v>#DIV/0!</v>
      </c>
      <c r="I631" s="3" t="e">
        <f t="shared" ref="I631:I694" si="35">G631/B631</f>
        <v>#DIV/0!</v>
      </c>
    </row>
    <row r="632" spans="1:9" x14ac:dyDescent="0.55000000000000004">
      <c r="A632" s="1">
        <v>46288</v>
      </c>
      <c r="G632" s="3">
        <f t="shared" si="33"/>
        <v>0</v>
      </c>
      <c r="H632" s="3" t="e">
        <f t="shared" si="34"/>
        <v>#DIV/0!</v>
      </c>
      <c r="I632" s="3" t="e">
        <f t="shared" si="35"/>
        <v>#DIV/0!</v>
      </c>
    </row>
    <row r="633" spans="1:9" x14ac:dyDescent="0.55000000000000004">
      <c r="A633" s="1">
        <v>46289</v>
      </c>
      <c r="G633" s="3">
        <f t="shared" si="33"/>
        <v>0</v>
      </c>
      <c r="H633" s="3" t="e">
        <f t="shared" si="34"/>
        <v>#DIV/0!</v>
      </c>
      <c r="I633" s="3" t="e">
        <f t="shared" si="35"/>
        <v>#DIV/0!</v>
      </c>
    </row>
    <row r="634" spans="1:9" x14ac:dyDescent="0.55000000000000004">
      <c r="A634" s="1">
        <v>46290</v>
      </c>
      <c r="G634" s="3">
        <f t="shared" si="33"/>
        <v>0</v>
      </c>
      <c r="H634" s="3" t="e">
        <f t="shared" si="34"/>
        <v>#DIV/0!</v>
      </c>
      <c r="I634" s="3" t="e">
        <f t="shared" si="35"/>
        <v>#DIV/0!</v>
      </c>
    </row>
    <row r="635" spans="1:9" x14ac:dyDescent="0.55000000000000004">
      <c r="A635" s="1">
        <v>46291</v>
      </c>
      <c r="G635" s="3">
        <f t="shared" si="33"/>
        <v>0</v>
      </c>
      <c r="H635" s="3" t="e">
        <f t="shared" si="34"/>
        <v>#DIV/0!</v>
      </c>
      <c r="I635" s="3" t="e">
        <f t="shared" si="35"/>
        <v>#DIV/0!</v>
      </c>
    </row>
    <row r="636" spans="1:9" x14ac:dyDescent="0.55000000000000004">
      <c r="A636" s="1">
        <v>46292</v>
      </c>
      <c r="G636" s="3">
        <f t="shared" si="33"/>
        <v>0</v>
      </c>
      <c r="H636" s="3" t="e">
        <f t="shared" si="34"/>
        <v>#DIV/0!</v>
      </c>
      <c r="I636" s="3" t="e">
        <f t="shared" si="35"/>
        <v>#DIV/0!</v>
      </c>
    </row>
    <row r="637" spans="1:9" x14ac:dyDescent="0.55000000000000004">
      <c r="A637" s="1">
        <v>46293</v>
      </c>
      <c r="G637" s="3">
        <f t="shared" si="33"/>
        <v>0</v>
      </c>
      <c r="H637" s="3" t="e">
        <f t="shared" si="34"/>
        <v>#DIV/0!</v>
      </c>
      <c r="I637" s="3" t="e">
        <f t="shared" si="35"/>
        <v>#DIV/0!</v>
      </c>
    </row>
    <row r="638" spans="1:9" x14ac:dyDescent="0.55000000000000004">
      <c r="A638" s="1">
        <v>46294</v>
      </c>
      <c r="G638" s="3">
        <f t="shared" si="33"/>
        <v>0</v>
      </c>
      <c r="H638" s="3" t="e">
        <f t="shared" si="34"/>
        <v>#DIV/0!</v>
      </c>
      <c r="I638" s="3" t="e">
        <f t="shared" si="35"/>
        <v>#DIV/0!</v>
      </c>
    </row>
    <row r="639" spans="1:9" x14ac:dyDescent="0.55000000000000004">
      <c r="A639" s="1">
        <v>46295</v>
      </c>
      <c r="G639" s="3">
        <f t="shared" si="33"/>
        <v>0</v>
      </c>
      <c r="H639" s="3" t="e">
        <f t="shared" si="34"/>
        <v>#DIV/0!</v>
      </c>
      <c r="I639" s="3" t="e">
        <f t="shared" si="35"/>
        <v>#DIV/0!</v>
      </c>
    </row>
    <row r="640" spans="1:9" x14ac:dyDescent="0.55000000000000004">
      <c r="A640" s="1">
        <v>46296</v>
      </c>
      <c r="G640" s="3">
        <f t="shared" si="33"/>
        <v>0</v>
      </c>
      <c r="H640" s="3" t="e">
        <f t="shared" si="34"/>
        <v>#DIV/0!</v>
      </c>
      <c r="I640" s="3" t="e">
        <f t="shared" si="35"/>
        <v>#DIV/0!</v>
      </c>
    </row>
    <row r="641" spans="1:9" x14ac:dyDescent="0.55000000000000004">
      <c r="A641" s="1">
        <v>46297</v>
      </c>
      <c r="G641" s="3">
        <f t="shared" si="33"/>
        <v>0</v>
      </c>
      <c r="H641" s="3" t="e">
        <f t="shared" si="34"/>
        <v>#DIV/0!</v>
      </c>
      <c r="I641" s="3" t="e">
        <f t="shared" si="35"/>
        <v>#DIV/0!</v>
      </c>
    </row>
    <row r="642" spans="1:9" x14ac:dyDescent="0.55000000000000004">
      <c r="A642" s="1">
        <v>46298</v>
      </c>
      <c r="G642" s="3">
        <f t="shared" si="33"/>
        <v>0</v>
      </c>
      <c r="H642" s="3" t="e">
        <f t="shared" si="34"/>
        <v>#DIV/0!</v>
      </c>
      <c r="I642" s="3" t="e">
        <f t="shared" si="35"/>
        <v>#DIV/0!</v>
      </c>
    </row>
    <row r="643" spans="1:9" x14ac:dyDescent="0.55000000000000004">
      <c r="A643" s="1">
        <v>46299</v>
      </c>
      <c r="G643" s="3">
        <f t="shared" si="33"/>
        <v>0</v>
      </c>
      <c r="H643" s="3" t="e">
        <f t="shared" si="34"/>
        <v>#DIV/0!</v>
      </c>
      <c r="I643" s="3" t="e">
        <f t="shared" si="35"/>
        <v>#DIV/0!</v>
      </c>
    </row>
    <row r="644" spans="1:9" x14ac:dyDescent="0.55000000000000004">
      <c r="A644" s="1">
        <v>46300</v>
      </c>
      <c r="G644" s="3">
        <f t="shared" si="33"/>
        <v>0</v>
      </c>
      <c r="H644" s="3" t="e">
        <f t="shared" si="34"/>
        <v>#DIV/0!</v>
      </c>
      <c r="I644" s="3" t="e">
        <f t="shared" si="35"/>
        <v>#DIV/0!</v>
      </c>
    </row>
    <row r="645" spans="1:9" x14ac:dyDescent="0.55000000000000004">
      <c r="A645" s="1">
        <v>46301</v>
      </c>
      <c r="G645" s="3">
        <f t="shared" si="33"/>
        <v>0</v>
      </c>
      <c r="H645" s="3" t="e">
        <f t="shared" si="34"/>
        <v>#DIV/0!</v>
      </c>
      <c r="I645" s="3" t="e">
        <f t="shared" si="35"/>
        <v>#DIV/0!</v>
      </c>
    </row>
    <row r="646" spans="1:9" x14ac:dyDescent="0.55000000000000004">
      <c r="A646" s="1">
        <v>46302</v>
      </c>
      <c r="G646" s="3">
        <f t="shared" si="33"/>
        <v>0</v>
      </c>
      <c r="H646" s="3" t="e">
        <f t="shared" si="34"/>
        <v>#DIV/0!</v>
      </c>
      <c r="I646" s="3" t="e">
        <f t="shared" si="35"/>
        <v>#DIV/0!</v>
      </c>
    </row>
    <row r="647" spans="1:9" x14ac:dyDescent="0.55000000000000004">
      <c r="A647" s="1">
        <v>46303</v>
      </c>
      <c r="G647" s="3">
        <f t="shared" si="33"/>
        <v>0</v>
      </c>
      <c r="H647" s="3" t="e">
        <f t="shared" si="34"/>
        <v>#DIV/0!</v>
      </c>
      <c r="I647" s="3" t="e">
        <f t="shared" si="35"/>
        <v>#DIV/0!</v>
      </c>
    </row>
    <row r="648" spans="1:9" x14ac:dyDescent="0.55000000000000004">
      <c r="A648" s="1">
        <v>46304</v>
      </c>
      <c r="G648" s="3">
        <f t="shared" si="33"/>
        <v>0</v>
      </c>
      <c r="H648" s="3" t="e">
        <f t="shared" si="34"/>
        <v>#DIV/0!</v>
      </c>
      <c r="I648" s="3" t="e">
        <f t="shared" si="35"/>
        <v>#DIV/0!</v>
      </c>
    </row>
    <row r="649" spans="1:9" x14ac:dyDescent="0.55000000000000004">
      <c r="A649" s="1">
        <v>46305</v>
      </c>
      <c r="G649" s="3">
        <f t="shared" si="33"/>
        <v>0</v>
      </c>
      <c r="H649" s="3" t="e">
        <f t="shared" si="34"/>
        <v>#DIV/0!</v>
      </c>
      <c r="I649" s="3" t="e">
        <f t="shared" si="35"/>
        <v>#DIV/0!</v>
      </c>
    </row>
    <row r="650" spans="1:9" x14ac:dyDescent="0.55000000000000004">
      <c r="A650" s="1">
        <v>46306</v>
      </c>
      <c r="G650" s="3">
        <f t="shared" si="33"/>
        <v>0</v>
      </c>
      <c r="H650" s="3" t="e">
        <f t="shared" si="34"/>
        <v>#DIV/0!</v>
      </c>
      <c r="I650" s="3" t="e">
        <f t="shared" si="35"/>
        <v>#DIV/0!</v>
      </c>
    </row>
    <row r="651" spans="1:9" x14ac:dyDescent="0.55000000000000004">
      <c r="A651" s="1">
        <v>46307</v>
      </c>
      <c r="G651" s="3">
        <f t="shared" si="33"/>
        <v>0</v>
      </c>
      <c r="H651" s="3" t="e">
        <f t="shared" si="34"/>
        <v>#DIV/0!</v>
      </c>
      <c r="I651" s="3" t="e">
        <f t="shared" si="35"/>
        <v>#DIV/0!</v>
      </c>
    </row>
    <row r="652" spans="1:9" x14ac:dyDescent="0.55000000000000004">
      <c r="A652" s="1">
        <v>46308</v>
      </c>
      <c r="G652" s="3">
        <f t="shared" si="33"/>
        <v>0</v>
      </c>
      <c r="H652" s="3" t="e">
        <f t="shared" si="34"/>
        <v>#DIV/0!</v>
      </c>
      <c r="I652" s="3" t="e">
        <f t="shared" si="35"/>
        <v>#DIV/0!</v>
      </c>
    </row>
    <row r="653" spans="1:9" x14ac:dyDescent="0.55000000000000004">
      <c r="A653" s="1">
        <v>46309</v>
      </c>
      <c r="G653" s="3">
        <f t="shared" si="33"/>
        <v>0</v>
      </c>
      <c r="H653" s="3" t="e">
        <f t="shared" si="34"/>
        <v>#DIV/0!</v>
      </c>
      <c r="I653" s="3" t="e">
        <f t="shared" si="35"/>
        <v>#DIV/0!</v>
      </c>
    </row>
    <row r="654" spans="1:9" x14ac:dyDescent="0.55000000000000004">
      <c r="A654" s="1">
        <v>46310</v>
      </c>
      <c r="G654" s="3">
        <f t="shared" si="33"/>
        <v>0</v>
      </c>
      <c r="H654" s="3" t="e">
        <f t="shared" si="34"/>
        <v>#DIV/0!</v>
      </c>
      <c r="I654" s="3" t="e">
        <f t="shared" si="35"/>
        <v>#DIV/0!</v>
      </c>
    </row>
    <row r="655" spans="1:9" x14ac:dyDescent="0.55000000000000004">
      <c r="A655" s="1">
        <v>46311</v>
      </c>
      <c r="G655" s="3">
        <f t="shared" si="33"/>
        <v>0</v>
      </c>
      <c r="H655" s="3" t="e">
        <f t="shared" si="34"/>
        <v>#DIV/0!</v>
      </c>
      <c r="I655" s="3" t="e">
        <f t="shared" si="35"/>
        <v>#DIV/0!</v>
      </c>
    </row>
    <row r="656" spans="1:9" x14ac:dyDescent="0.55000000000000004">
      <c r="A656" s="1">
        <v>46312</v>
      </c>
      <c r="G656" s="3">
        <f t="shared" si="33"/>
        <v>0</v>
      </c>
      <c r="H656" s="3" t="e">
        <f t="shared" si="34"/>
        <v>#DIV/0!</v>
      </c>
      <c r="I656" s="3" t="e">
        <f t="shared" si="35"/>
        <v>#DIV/0!</v>
      </c>
    </row>
    <row r="657" spans="1:9" x14ac:dyDescent="0.55000000000000004">
      <c r="A657" s="1">
        <v>46313</v>
      </c>
      <c r="G657" s="3">
        <f t="shared" si="33"/>
        <v>0</v>
      </c>
      <c r="H657" s="3" t="e">
        <f t="shared" si="34"/>
        <v>#DIV/0!</v>
      </c>
      <c r="I657" s="3" t="e">
        <f t="shared" si="35"/>
        <v>#DIV/0!</v>
      </c>
    </row>
    <row r="658" spans="1:9" x14ac:dyDescent="0.55000000000000004">
      <c r="A658" s="1">
        <v>46314</v>
      </c>
      <c r="G658" s="3">
        <f t="shared" si="33"/>
        <v>0</v>
      </c>
      <c r="H658" s="3" t="e">
        <f t="shared" si="34"/>
        <v>#DIV/0!</v>
      </c>
      <c r="I658" s="3" t="e">
        <f t="shared" si="35"/>
        <v>#DIV/0!</v>
      </c>
    </row>
    <row r="659" spans="1:9" x14ac:dyDescent="0.55000000000000004">
      <c r="A659" s="1">
        <v>46315</v>
      </c>
      <c r="G659" s="3">
        <f t="shared" si="33"/>
        <v>0</v>
      </c>
      <c r="H659" s="3" t="e">
        <f t="shared" si="34"/>
        <v>#DIV/0!</v>
      </c>
      <c r="I659" s="3" t="e">
        <f t="shared" si="35"/>
        <v>#DIV/0!</v>
      </c>
    </row>
    <row r="660" spans="1:9" x14ac:dyDescent="0.55000000000000004">
      <c r="A660" s="1">
        <v>46316</v>
      </c>
      <c r="G660" s="3">
        <f t="shared" si="33"/>
        <v>0</v>
      </c>
      <c r="H660" s="3" t="e">
        <f t="shared" si="34"/>
        <v>#DIV/0!</v>
      </c>
      <c r="I660" s="3" t="e">
        <f t="shared" si="35"/>
        <v>#DIV/0!</v>
      </c>
    </row>
    <row r="661" spans="1:9" x14ac:dyDescent="0.55000000000000004">
      <c r="A661" s="1">
        <v>46317</v>
      </c>
      <c r="G661" s="3">
        <f t="shared" si="33"/>
        <v>0</v>
      </c>
      <c r="H661" s="3" t="e">
        <f t="shared" si="34"/>
        <v>#DIV/0!</v>
      </c>
      <c r="I661" s="3" t="e">
        <f t="shared" si="35"/>
        <v>#DIV/0!</v>
      </c>
    </row>
    <row r="662" spans="1:9" x14ac:dyDescent="0.55000000000000004">
      <c r="A662" s="1">
        <v>46318</v>
      </c>
      <c r="G662" s="3">
        <f t="shared" si="33"/>
        <v>0</v>
      </c>
      <c r="H662" s="3" t="e">
        <f t="shared" si="34"/>
        <v>#DIV/0!</v>
      </c>
      <c r="I662" s="3" t="e">
        <f t="shared" si="35"/>
        <v>#DIV/0!</v>
      </c>
    </row>
    <row r="663" spans="1:9" x14ac:dyDescent="0.55000000000000004">
      <c r="A663" s="1">
        <v>46319</v>
      </c>
      <c r="G663" s="3">
        <f t="shared" si="33"/>
        <v>0</v>
      </c>
      <c r="H663" s="3" t="e">
        <f t="shared" si="34"/>
        <v>#DIV/0!</v>
      </c>
      <c r="I663" s="3" t="e">
        <f t="shared" si="35"/>
        <v>#DIV/0!</v>
      </c>
    </row>
    <row r="664" spans="1:9" x14ac:dyDescent="0.55000000000000004">
      <c r="A664" s="1">
        <v>46320</v>
      </c>
      <c r="G664" s="3">
        <f t="shared" si="33"/>
        <v>0</v>
      </c>
      <c r="H664" s="3" t="e">
        <f t="shared" si="34"/>
        <v>#DIV/0!</v>
      </c>
      <c r="I664" s="3" t="e">
        <f t="shared" si="35"/>
        <v>#DIV/0!</v>
      </c>
    </row>
    <row r="665" spans="1:9" x14ac:dyDescent="0.55000000000000004">
      <c r="A665" s="1">
        <v>46321</v>
      </c>
      <c r="G665" s="3">
        <f t="shared" si="33"/>
        <v>0</v>
      </c>
      <c r="H665" s="3" t="e">
        <f t="shared" si="34"/>
        <v>#DIV/0!</v>
      </c>
      <c r="I665" s="3" t="e">
        <f t="shared" si="35"/>
        <v>#DIV/0!</v>
      </c>
    </row>
    <row r="666" spans="1:9" x14ac:dyDescent="0.55000000000000004">
      <c r="A666" s="1">
        <v>46322</v>
      </c>
      <c r="G666" s="3">
        <f t="shared" si="33"/>
        <v>0</v>
      </c>
      <c r="H666" s="3" t="e">
        <f t="shared" si="34"/>
        <v>#DIV/0!</v>
      </c>
      <c r="I666" s="3" t="e">
        <f t="shared" si="35"/>
        <v>#DIV/0!</v>
      </c>
    </row>
    <row r="667" spans="1:9" x14ac:dyDescent="0.55000000000000004">
      <c r="A667" s="1">
        <v>46323</v>
      </c>
      <c r="G667" s="3">
        <f t="shared" si="33"/>
        <v>0</v>
      </c>
      <c r="H667" s="3" t="e">
        <f t="shared" si="34"/>
        <v>#DIV/0!</v>
      </c>
      <c r="I667" s="3" t="e">
        <f t="shared" si="35"/>
        <v>#DIV/0!</v>
      </c>
    </row>
    <row r="668" spans="1:9" x14ac:dyDescent="0.55000000000000004">
      <c r="A668" s="1">
        <v>46324</v>
      </c>
      <c r="G668" s="3">
        <f t="shared" si="33"/>
        <v>0</v>
      </c>
      <c r="H668" s="3" t="e">
        <f t="shared" si="34"/>
        <v>#DIV/0!</v>
      </c>
      <c r="I668" s="3" t="e">
        <f t="shared" si="35"/>
        <v>#DIV/0!</v>
      </c>
    </row>
    <row r="669" spans="1:9" x14ac:dyDescent="0.55000000000000004">
      <c r="A669" s="1">
        <v>46325</v>
      </c>
      <c r="G669" s="3">
        <f t="shared" si="33"/>
        <v>0</v>
      </c>
      <c r="H669" s="3" t="e">
        <f t="shared" si="34"/>
        <v>#DIV/0!</v>
      </c>
      <c r="I669" s="3" t="e">
        <f t="shared" si="35"/>
        <v>#DIV/0!</v>
      </c>
    </row>
    <row r="670" spans="1:9" x14ac:dyDescent="0.55000000000000004">
      <c r="A670" s="1">
        <v>46326</v>
      </c>
      <c r="G670" s="3">
        <f t="shared" si="33"/>
        <v>0</v>
      </c>
      <c r="H670" s="3" t="e">
        <f t="shared" si="34"/>
        <v>#DIV/0!</v>
      </c>
      <c r="I670" s="3" t="e">
        <f t="shared" si="35"/>
        <v>#DIV/0!</v>
      </c>
    </row>
    <row r="671" spans="1:9" x14ac:dyDescent="0.55000000000000004">
      <c r="A671" s="1">
        <v>46327</v>
      </c>
      <c r="G671" s="3">
        <f t="shared" si="33"/>
        <v>0</v>
      </c>
      <c r="H671" s="3" t="e">
        <f t="shared" si="34"/>
        <v>#DIV/0!</v>
      </c>
      <c r="I671" s="3" t="e">
        <f t="shared" si="35"/>
        <v>#DIV/0!</v>
      </c>
    </row>
    <row r="672" spans="1:9" x14ac:dyDescent="0.55000000000000004">
      <c r="A672" s="1">
        <v>46328</v>
      </c>
      <c r="G672" s="3">
        <f t="shared" si="33"/>
        <v>0</v>
      </c>
      <c r="H672" s="3" t="e">
        <f t="shared" si="34"/>
        <v>#DIV/0!</v>
      </c>
      <c r="I672" s="3" t="e">
        <f t="shared" si="35"/>
        <v>#DIV/0!</v>
      </c>
    </row>
    <row r="673" spans="1:9" x14ac:dyDescent="0.55000000000000004">
      <c r="A673" s="1">
        <v>46329</v>
      </c>
      <c r="G673" s="3">
        <f t="shared" si="33"/>
        <v>0</v>
      </c>
      <c r="H673" s="3" t="e">
        <f t="shared" si="34"/>
        <v>#DIV/0!</v>
      </c>
      <c r="I673" s="3" t="e">
        <f t="shared" si="35"/>
        <v>#DIV/0!</v>
      </c>
    </row>
    <row r="674" spans="1:9" x14ac:dyDescent="0.55000000000000004">
      <c r="A674" s="1">
        <v>46330</v>
      </c>
      <c r="G674" s="3">
        <f t="shared" si="33"/>
        <v>0</v>
      </c>
      <c r="H674" s="3" t="e">
        <f t="shared" si="34"/>
        <v>#DIV/0!</v>
      </c>
      <c r="I674" s="3" t="e">
        <f t="shared" si="35"/>
        <v>#DIV/0!</v>
      </c>
    </row>
    <row r="675" spans="1:9" x14ac:dyDescent="0.55000000000000004">
      <c r="A675" s="1">
        <v>46331</v>
      </c>
      <c r="G675" s="3">
        <f t="shared" si="33"/>
        <v>0</v>
      </c>
      <c r="H675" s="3" t="e">
        <f t="shared" si="34"/>
        <v>#DIV/0!</v>
      </c>
      <c r="I675" s="3" t="e">
        <f t="shared" si="35"/>
        <v>#DIV/0!</v>
      </c>
    </row>
    <row r="676" spans="1:9" x14ac:dyDescent="0.55000000000000004">
      <c r="A676" s="1">
        <v>46332</v>
      </c>
      <c r="G676" s="3">
        <f t="shared" si="33"/>
        <v>0</v>
      </c>
      <c r="H676" s="3" t="e">
        <f t="shared" si="34"/>
        <v>#DIV/0!</v>
      </c>
      <c r="I676" s="3" t="e">
        <f t="shared" si="35"/>
        <v>#DIV/0!</v>
      </c>
    </row>
    <row r="677" spans="1:9" x14ac:dyDescent="0.55000000000000004">
      <c r="A677" s="1">
        <v>46333</v>
      </c>
      <c r="G677" s="3">
        <f t="shared" si="33"/>
        <v>0</v>
      </c>
      <c r="H677" s="3" t="e">
        <f t="shared" si="34"/>
        <v>#DIV/0!</v>
      </c>
      <c r="I677" s="3" t="e">
        <f t="shared" si="35"/>
        <v>#DIV/0!</v>
      </c>
    </row>
    <row r="678" spans="1:9" x14ac:dyDescent="0.55000000000000004">
      <c r="A678" s="1">
        <v>46334</v>
      </c>
      <c r="G678" s="3">
        <f t="shared" si="33"/>
        <v>0</v>
      </c>
      <c r="H678" s="3" t="e">
        <f t="shared" si="34"/>
        <v>#DIV/0!</v>
      </c>
      <c r="I678" s="3" t="e">
        <f t="shared" si="35"/>
        <v>#DIV/0!</v>
      </c>
    </row>
    <row r="679" spans="1:9" x14ac:dyDescent="0.55000000000000004">
      <c r="A679" s="1">
        <v>46335</v>
      </c>
      <c r="G679" s="3">
        <f t="shared" si="33"/>
        <v>0</v>
      </c>
      <c r="H679" s="3" t="e">
        <f t="shared" si="34"/>
        <v>#DIV/0!</v>
      </c>
      <c r="I679" s="3" t="e">
        <f t="shared" si="35"/>
        <v>#DIV/0!</v>
      </c>
    </row>
    <row r="680" spans="1:9" x14ac:dyDescent="0.55000000000000004">
      <c r="A680" s="1">
        <v>46336</v>
      </c>
      <c r="G680" s="3">
        <f t="shared" si="33"/>
        <v>0</v>
      </c>
      <c r="H680" s="3" t="e">
        <f t="shared" si="34"/>
        <v>#DIV/0!</v>
      </c>
      <c r="I680" s="3" t="e">
        <f t="shared" si="35"/>
        <v>#DIV/0!</v>
      </c>
    </row>
    <row r="681" spans="1:9" x14ac:dyDescent="0.55000000000000004">
      <c r="A681" s="1">
        <v>46337</v>
      </c>
      <c r="G681" s="3">
        <f t="shared" si="33"/>
        <v>0</v>
      </c>
      <c r="H681" s="3" t="e">
        <f t="shared" si="34"/>
        <v>#DIV/0!</v>
      </c>
      <c r="I681" s="3" t="e">
        <f t="shared" si="35"/>
        <v>#DIV/0!</v>
      </c>
    </row>
    <row r="682" spans="1:9" x14ac:dyDescent="0.55000000000000004">
      <c r="A682" s="1">
        <v>46338</v>
      </c>
      <c r="G682" s="3">
        <f t="shared" si="33"/>
        <v>0</v>
      </c>
      <c r="H682" s="3" t="e">
        <f t="shared" si="34"/>
        <v>#DIV/0!</v>
      </c>
      <c r="I682" s="3" t="e">
        <f t="shared" si="35"/>
        <v>#DIV/0!</v>
      </c>
    </row>
    <row r="683" spans="1:9" x14ac:dyDescent="0.55000000000000004">
      <c r="A683" s="1">
        <v>46339</v>
      </c>
      <c r="G683" s="3">
        <f t="shared" si="33"/>
        <v>0</v>
      </c>
      <c r="H683" s="3" t="e">
        <f t="shared" si="34"/>
        <v>#DIV/0!</v>
      </c>
      <c r="I683" s="3" t="e">
        <f t="shared" si="35"/>
        <v>#DIV/0!</v>
      </c>
    </row>
    <row r="684" spans="1:9" x14ac:dyDescent="0.55000000000000004">
      <c r="A684" s="1">
        <v>46340</v>
      </c>
      <c r="G684" s="3">
        <f t="shared" si="33"/>
        <v>0</v>
      </c>
      <c r="H684" s="3" t="e">
        <f t="shared" si="34"/>
        <v>#DIV/0!</v>
      </c>
      <c r="I684" s="3" t="e">
        <f t="shared" si="35"/>
        <v>#DIV/0!</v>
      </c>
    </row>
    <row r="685" spans="1:9" x14ac:dyDescent="0.55000000000000004">
      <c r="A685" s="1">
        <v>46341</v>
      </c>
      <c r="G685" s="3">
        <f t="shared" si="33"/>
        <v>0</v>
      </c>
      <c r="H685" s="3" t="e">
        <f t="shared" si="34"/>
        <v>#DIV/0!</v>
      </c>
      <c r="I685" s="3" t="e">
        <f t="shared" si="35"/>
        <v>#DIV/0!</v>
      </c>
    </row>
    <row r="686" spans="1:9" x14ac:dyDescent="0.55000000000000004">
      <c r="A686" s="1">
        <v>46342</v>
      </c>
      <c r="G686" s="3">
        <f t="shared" si="33"/>
        <v>0</v>
      </c>
      <c r="H686" s="3" t="e">
        <f t="shared" si="34"/>
        <v>#DIV/0!</v>
      </c>
      <c r="I686" s="3" t="e">
        <f t="shared" si="35"/>
        <v>#DIV/0!</v>
      </c>
    </row>
    <row r="687" spans="1:9" x14ac:dyDescent="0.55000000000000004">
      <c r="A687" s="1">
        <v>46343</v>
      </c>
      <c r="G687" s="3">
        <f t="shared" si="33"/>
        <v>0</v>
      </c>
      <c r="H687" s="3" t="e">
        <f t="shared" si="34"/>
        <v>#DIV/0!</v>
      </c>
      <c r="I687" s="3" t="e">
        <f t="shared" si="35"/>
        <v>#DIV/0!</v>
      </c>
    </row>
    <row r="688" spans="1:9" x14ac:dyDescent="0.55000000000000004">
      <c r="A688" s="1">
        <v>46344</v>
      </c>
      <c r="G688" s="3">
        <f t="shared" si="33"/>
        <v>0</v>
      </c>
      <c r="H688" s="3" t="e">
        <f t="shared" si="34"/>
        <v>#DIV/0!</v>
      </c>
      <c r="I688" s="3" t="e">
        <f t="shared" si="35"/>
        <v>#DIV/0!</v>
      </c>
    </row>
    <row r="689" spans="1:9" x14ac:dyDescent="0.55000000000000004">
      <c r="A689" s="1">
        <v>46345</v>
      </c>
      <c r="G689" s="3">
        <f t="shared" si="33"/>
        <v>0</v>
      </c>
      <c r="H689" s="3" t="e">
        <f t="shared" si="34"/>
        <v>#DIV/0!</v>
      </c>
      <c r="I689" s="3" t="e">
        <f t="shared" si="35"/>
        <v>#DIV/0!</v>
      </c>
    </row>
    <row r="690" spans="1:9" x14ac:dyDescent="0.55000000000000004">
      <c r="A690" s="1">
        <v>46346</v>
      </c>
      <c r="G690" s="3">
        <f t="shared" si="33"/>
        <v>0</v>
      </c>
      <c r="H690" s="3" t="e">
        <f t="shared" si="34"/>
        <v>#DIV/0!</v>
      </c>
      <c r="I690" s="3" t="e">
        <f t="shared" si="35"/>
        <v>#DIV/0!</v>
      </c>
    </row>
    <row r="691" spans="1:9" x14ac:dyDescent="0.55000000000000004">
      <c r="A691" s="1">
        <v>46347</v>
      </c>
      <c r="G691" s="3">
        <f t="shared" si="33"/>
        <v>0</v>
      </c>
      <c r="H691" s="3" t="e">
        <f t="shared" si="34"/>
        <v>#DIV/0!</v>
      </c>
      <c r="I691" s="3" t="e">
        <f t="shared" si="35"/>
        <v>#DIV/0!</v>
      </c>
    </row>
    <row r="692" spans="1:9" x14ac:dyDescent="0.55000000000000004">
      <c r="A692" s="1">
        <v>46348</v>
      </c>
      <c r="G692" s="3">
        <f t="shared" si="33"/>
        <v>0</v>
      </c>
      <c r="H692" s="3" t="e">
        <f t="shared" si="34"/>
        <v>#DIV/0!</v>
      </c>
      <c r="I692" s="3" t="e">
        <f t="shared" si="35"/>
        <v>#DIV/0!</v>
      </c>
    </row>
    <row r="693" spans="1:9" x14ac:dyDescent="0.55000000000000004">
      <c r="A693" s="1">
        <v>46349</v>
      </c>
      <c r="G693" s="3">
        <f t="shared" si="33"/>
        <v>0</v>
      </c>
      <c r="H693" s="3" t="e">
        <f t="shared" si="34"/>
        <v>#DIV/0!</v>
      </c>
      <c r="I693" s="3" t="e">
        <f t="shared" si="35"/>
        <v>#DIV/0!</v>
      </c>
    </row>
    <row r="694" spans="1:9" x14ac:dyDescent="0.55000000000000004">
      <c r="A694" s="1">
        <v>46350</v>
      </c>
      <c r="G694" s="3">
        <f t="shared" si="33"/>
        <v>0</v>
      </c>
      <c r="H694" s="3" t="e">
        <f t="shared" si="34"/>
        <v>#DIV/0!</v>
      </c>
      <c r="I694" s="3" t="e">
        <f t="shared" si="35"/>
        <v>#DIV/0!</v>
      </c>
    </row>
    <row r="695" spans="1:9" x14ac:dyDescent="0.55000000000000004">
      <c r="A695" s="1">
        <v>46351</v>
      </c>
      <c r="G695" s="3">
        <f t="shared" ref="G695:G731" si="36">C695+D695+E695+F695</f>
        <v>0</v>
      </c>
      <c r="H695" s="3" t="e">
        <f t="shared" ref="H695:H731" si="37">C695/B695</f>
        <v>#DIV/0!</v>
      </c>
      <c r="I695" s="3" t="e">
        <f t="shared" ref="I695:I731" si="38">G695/B695</f>
        <v>#DIV/0!</v>
      </c>
    </row>
    <row r="696" spans="1:9" x14ac:dyDescent="0.55000000000000004">
      <c r="A696" s="1">
        <v>46352</v>
      </c>
      <c r="G696" s="3">
        <f t="shared" si="36"/>
        <v>0</v>
      </c>
      <c r="H696" s="3" t="e">
        <f t="shared" si="37"/>
        <v>#DIV/0!</v>
      </c>
      <c r="I696" s="3" t="e">
        <f t="shared" si="38"/>
        <v>#DIV/0!</v>
      </c>
    </row>
    <row r="697" spans="1:9" x14ac:dyDescent="0.55000000000000004">
      <c r="A697" s="1">
        <v>46353</v>
      </c>
      <c r="G697" s="3">
        <f t="shared" si="36"/>
        <v>0</v>
      </c>
      <c r="H697" s="3" t="e">
        <f t="shared" si="37"/>
        <v>#DIV/0!</v>
      </c>
      <c r="I697" s="3" t="e">
        <f t="shared" si="38"/>
        <v>#DIV/0!</v>
      </c>
    </row>
    <row r="698" spans="1:9" x14ac:dyDescent="0.55000000000000004">
      <c r="A698" s="1">
        <v>46354</v>
      </c>
      <c r="G698" s="3">
        <f t="shared" si="36"/>
        <v>0</v>
      </c>
      <c r="H698" s="3" t="e">
        <f t="shared" si="37"/>
        <v>#DIV/0!</v>
      </c>
      <c r="I698" s="3" t="e">
        <f t="shared" si="38"/>
        <v>#DIV/0!</v>
      </c>
    </row>
    <row r="699" spans="1:9" x14ac:dyDescent="0.55000000000000004">
      <c r="A699" s="1">
        <v>46355</v>
      </c>
      <c r="G699" s="3">
        <f t="shared" si="36"/>
        <v>0</v>
      </c>
      <c r="H699" s="3" t="e">
        <f t="shared" si="37"/>
        <v>#DIV/0!</v>
      </c>
      <c r="I699" s="3" t="e">
        <f t="shared" si="38"/>
        <v>#DIV/0!</v>
      </c>
    </row>
    <row r="700" spans="1:9" x14ac:dyDescent="0.55000000000000004">
      <c r="A700" s="1">
        <v>46356</v>
      </c>
      <c r="G700" s="3">
        <f t="shared" si="36"/>
        <v>0</v>
      </c>
      <c r="H700" s="3" t="e">
        <f t="shared" si="37"/>
        <v>#DIV/0!</v>
      </c>
      <c r="I700" s="3" t="e">
        <f t="shared" si="38"/>
        <v>#DIV/0!</v>
      </c>
    </row>
    <row r="701" spans="1:9" x14ac:dyDescent="0.55000000000000004">
      <c r="A701" s="1">
        <v>46357</v>
      </c>
      <c r="G701" s="3">
        <f t="shared" si="36"/>
        <v>0</v>
      </c>
      <c r="H701" s="3" t="e">
        <f t="shared" si="37"/>
        <v>#DIV/0!</v>
      </c>
      <c r="I701" s="3" t="e">
        <f t="shared" si="38"/>
        <v>#DIV/0!</v>
      </c>
    </row>
    <row r="702" spans="1:9" x14ac:dyDescent="0.55000000000000004">
      <c r="A702" s="1">
        <v>46358</v>
      </c>
      <c r="G702" s="3">
        <f t="shared" si="36"/>
        <v>0</v>
      </c>
      <c r="H702" s="3" t="e">
        <f t="shared" si="37"/>
        <v>#DIV/0!</v>
      </c>
      <c r="I702" s="3" t="e">
        <f t="shared" si="38"/>
        <v>#DIV/0!</v>
      </c>
    </row>
    <row r="703" spans="1:9" x14ac:dyDescent="0.55000000000000004">
      <c r="A703" s="1">
        <v>46359</v>
      </c>
      <c r="G703" s="3">
        <f t="shared" si="36"/>
        <v>0</v>
      </c>
      <c r="H703" s="3" t="e">
        <f t="shared" si="37"/>
        <v>#DIV/0!</v>
      </c>
      <c r="I703" s="3" t="e">
        <f t="shared" si="38"/>
        <v>#DIV/0!</v>
      </c>
    </row>
    <row r="704" spans="1:9" x14ac:dyDescent="0.55000000000000004">
      <c r="A704" s="1">
        <v>46360</v>
      </c>
      <c r="G704" s="3">
        <f t="shared" si="36"/>
        <v>0</v>
      </c>
      <c r="H704" s="3" t="e">
        <f t="shared" si="37"/>
        <v>#DIV/0!</v>
      </c>
      <c r="I704" s="3" t="e">
        <f t="shared" si="38"/>
        <v>#DIV/0!</v>
      </c>
    </row>
    <row r="705" spans="1:9" x14ac:dyDescent="0.55000000000000004">
      <c r="A705" s="1">
        <v>46361</v>
      </c>
      <c r="G705" s="3">
        <f t="shared" si="36"/>
        <v>0</v>
      </c>
      <c r="H705" s="3" t="e">
        <f t="shared" si="37"/>
        <v>#DIV/0!</v>
      </c>
      <c r="I705" s="3" t="e">
        <f t="shared" si="38"/>
        <v>#DIV/0!</v>
      </c>
    </row>
    <row r="706" spans="1:9" x14ac:dyDescent="0.55000000000000004">
      <c r="A706" s="1">
        <v>46362</v>
      </c>
      <c r="G706" s="3">
        <f t="shared" si="36"/>
        <v>0</v>
      </c>
      <c r="H706" s="3" t="e">
        <f t="shared" si="37"/>
        <v>#DIV/0!</v>
      </c>
      <c r="I706" s="3" t="e">
        <f t="shared" si="38"/>
        <v>#DIV/0!</v>
      </c>
    </row>
    <row r="707" spans="1:9" x14ac:dyDescent="0.55000000000000004">
      <c r="A707" s="1">
        <v>46363</v>
      </c>
      <c r="G707" s="3">
        <f t="shared" si="36"/>
        <v>0</v>
      </c>
      <c r="H707" s="3" t="e">
        <f t="shared" si="37"/>
        <v>#DIV/0!</v>
      </c>
      <c r="I707" s="3" t="e">
        <f t="shared" si="38"/>
        <v>#DIV/0!</v>
      </c>
    </row>
    <row r="708" spans="1:9" x14ac:dyDescent="0.55000000000000004">
      <c r="A708" s="1">
        <v>46364</v>
      </c>
      <c r="G708" s="3">
        <f t="shared" si="36"/>
        <v>0</v>
      </c>
      <c r="H708" s="3" t="e">
        <f t="shared" si="37"/>
        <v>#DIV/0!</v>
      </c>
      <c r="I708" s="3" t="e">
        <f t="shared" si="38"/>
        <v>#DIV/0!</v>
      </c>
    </row>
    <row r="709" spans="1:9" x14ac:dyDescent="0.55000000000000004">
      <c r="A709" s="1">
        <v>46365</v>
      </c>
      <c r="G709" s="3">
        <f t="shared" si="36"/>
        <v>0</v>
      </c>
      <c r="H709" s="3" t="e">
        <f t="shared" si="37"/>
        <v>#DIV/0!</v>
      </c>
      <c r="I709" s="3" t="e">
        <f t="shared" si="38"/>
        <v>#DIV/0!</v>
      </c>
    </row>
    <row r="710" spans="1:9" x14ac:dyDescent="0.55000000000000004">
      <c r="A710" s="1">
        <v>46366</v>
      </c>
      <c r="G710" s="3">
        <f t="shared" si="36"/>
        <v>0</v>
      </c>
      <c r="H710" s="3" t="e">
        <f t="shared" si="37"/>
        <v>#DIV/0!</v>
      </c>
      <c r="I710" s="3" t="e">
        <f t="shared" si="38"/>
        <v>#DIV/0!</v>
      </c>
    </row>
    <row r="711" spans="1:9" x14ac:dyDescent="0.55000000000000004">
      <c r="A711" s="1">
        <v>46367</v>
      </c>
      <c r="G711" s="3">
        <f t="shared" si="36"/>
        <v>0</v>
      </c>
      <c r="H711" s="3" t="e">
        <f t="shared" si="37"/>
        <v>#DIV/0!</v>
      </c>
      <c r="I711" s="3" t="e">
        <f t="shared" si="38"/>
        <v>#DIV/0!</v>
      </c>
    </row>
    <row r="712" spans="1:9" x14ac:dyDescent="0.55000000000000004">
      <c r="A712" s="1">
        <v>46368</v>
      </c>
      <c r="G712" s="3">
        <f t="shared" si="36"/>
        <v>0</v>
      </c>
      <c r="H712" s="3" t="e">
        <f t="shared" si="37"/>
        <v>#DIV/0!</v>
      </c>
      <c r="I712" s="3" t="e">
        <f t="shared" si="38"/>
        <v>#DIV/0!</v>
      </c>
    </row>
    <row r="713" spans="1:9" x14ac:dyDescent="0.55000000000000004">
      <c r="A713" s="1">
        <v>46369</v>
      </c>
      <c r="G713" s="3">
        <f t="shared" si="36"/>
        <v>0</v>
      </c>
      <c r="H713" s="3" t="e">
        <f t="shared" si="37"/>
        <v>#DIV/0!</v>
      </c>
      <c r="I713" s="3" t="e">
        <f t="shared" si="38"/>
        <v>#DIV/0!</v>
      </c>
    </row>
    <row r="714" spans="1:9" x14ac:dyDescent="0.55000000000000004">
      <c r="A714" s="1">
        <v>46370</v>
      </c>
      <c r="G714" s="3">
        <f t="shared" si="36"/>
        <v>0</v>
      </c>
      <c r="H714" s="3" t="e">
        <f t="shared" si="37"/>
        <v>#DIV/0!</v>
      </c>
      <c r="I714" s="3" t="e">
        <f t="shared" si="38"/>
        <v>#DIV/0!</v>
      </c>
    </row>
    <row r="715" spans="1:9" x14ac:dyDescent="0.55000000000000004">
      <c r="A715" s="1">
        <v>46371</v>
      </c>
      <c r="G715" s="3">
        <f t="shared" si="36"/>
        <v>0</v>
      </c>
      <c r="H715" s="3" t="e">
        <f t="shared" si="37"/>
        <v>#DIV/0!</v>
      </c>
      <c r="I715" s="3" t="e">
        <f t="shared" si="38"/>
        <v>#DIV/0!</v>
      </c>
    </row>
    <row r="716" spans="1:9" x14ac:dyDescent="0.55000000000000004">
      <c r="A716" s="1">
        <v>46372</v>
      </c>
      <c r="G716" s="3">
        <f t="shared" si="36"/>
        <v>0</v>
      </c>
      <c r="H716" s="3" t="e">
        <f t="shared" si="37"/>
        <v>#DIV/0!</v>
      </c>
      <c r="I716" s="3" t="e">
        <f t="shared" si="38"/>
        <v>#DIV/0!</v>
      </c>
    </row>
    <row r="717" spans="1:9" x14ac:dyDescent="0.55000000000000004">
      <c r="A717" s="1">
        <v>46373</v>
      </c>
      <c r="G717" s="3">
        <f t="shared" si="36"/>
        <v>0</v>
      </c>
      <c r="H717" s="3" t="e">
        <f t="shared" si="37"/>
        <v>#DIV/0!</v>
      </c>
      <c r="I717" s="3" t="e">
        <f t="shared" si="38"/>
        <v>#DIV/0!</v>
      </c>
    </row>
    <row r="718" spans="1:9" x14ac:dyDescent="0.55000000000000004">
      <c r="A718" s="1">
        <v>46374</v>
      </c>
      <c r="G718" s="3">
        <f t="shared" si="36"/>
        <v>0</v>
      </c>
      <c r="H718" s="3" t="e">
        <f t="shared" si="37"/>
        <v>#DIV/0!</v>
      </c>
      <c r="I718" s="3" t="e">
        <f t="shared" si="38"/>
        <v>#DIV/0!</v>
      </c>
    </row>
    <row r="719" spans="1:9" x14ac:dyDescent="0.55000000000000004">
      <c r="A719" s="1">
        <v>46375</v>
      </c>
      <c r="G719" s="3">
        <f t="shared" si="36"/>
        <v>0</v>
      </c>
      <c r="H719" s="3" t="e">
        <f t="shared" si="37"/>
        <v>#DIV/0!</v>
      </c>
      <c r="I719" s="3" t="e">
        <f t="shared" si="38"/>
        <v>#DIV/0!</v>
      </c>
    </row>
    <row r="720" spans="1:9" x14ac:dyDescent="0.55000000000000004">
      <c r="A720" s="1">
        <v>46376</v>
      </c>
      <c r="G720" s="3">
        <f t="shared" si="36"/>
        <v>0</v>
      </c>
      <c r="H720" s="3" t="e">
        <f t="shared" si="37"/>
        <v>#DIV/0!</v>
      </c>
      <c r="I720" s="3" t="e">
        <f t="shared" si="38"/>
        <v>#DIV/0!</v>
      </c>
    </row>
    <row r="721" spans="1:9" x14ac:dyDescent="0.55000000000000004">
      <c r="A721" s="1">
        <v>46377</v>
      </c>
      <c r="G721" s="3">
        <f t="shared" si="36"/>
        <v>0</v>
      </c>
      <c r="H721" s="3" t="e">
        <f t="shared" si="37"/>
        <v>#DIV/0!</v>
      </c>
      <c r="I721" s="3" t="e">
        <f t="shared" si="38"/>
        <v>#DIV/0!</v>
      </c>
    </row>
    <row r="722" spans="1:9" x14ac:dyDescent="0.55000000000000004">
      <c r="A722" s="1">
        <v>46378</v>
      </c>
      <c r="G722" s="3">
        <f t="shared" si="36"/>
        <v>0</v>
      </c>
      <c r="H722" s="3" t="e">
        <f t="shared" si="37"/>
        <v>#DIV/0!</v>
      </c>
      <c r="I722" s="3" t="e">
        <f t="shared" si="38"/>
        <v>#DIV/0!</v>
      </c>
    </row>
    <row r="723" spans="1:9" x14ac:dyDescent="0.55000000000000004">
      <c r="A723" s="1">
        <v>46379</v>
      </c>
      <c r="G723" s="3">
        <f t="shared" si="36"/>
        <v>0</v>
      </c>
      <c r="H723" s="3" t="e">
        <f t="shared" si="37"/>
        <v>#DIV/0!</v>
      </c>
      <c r="I723" s="3" t="e">
        <f t="shared" si="38"/>
        <v>#DIV/0!</v>
      </c>
    </row>
    <row r="724" spans="1:9" x14ac:dyDescent="0.55000000000000004">
      <c r="A724" s="1">
        <v>46380</v>
      </c>
      <c r="G724" s="3">
        <f t="shared" si="36"/>
        <v>0</v>
      </c>
      <c r="H724" s="3" t="e">
        <f t="shared" si="37"/>
        <v>#DIV/0!</v>
      </c>
      <c r="I724" s="3" t="e">
        <f t="shared" si="38"/>
        <v>#DIV/0!</v>
      </c>
    </row>
    <row r="725" spans="1:9" x14ac:dyDescent="0.55000000000000004">
      <c r="A725" s="1">
        <v>46381</v>
      </c>
      <c r="G725" s="3">
        <f t="shared" si="36"/>
        <v>0</v>
      </c>
      <c r="H725" s="3" t="e">
        <f t="shared" si="37"/>
        <v>#DIV/0!</v>
      </c>
      <c r="I725" s="3" t="e">
        <f t="shared" si="38"/>
        <v>#DIV/0!</v>
      </c>
    </row>
    <row r="726" spans="1:9" x14ac:dyDescent="0.55000000000000004">
      <c r="A726" s="1">
        <v>46382</v>
      </c>
      <c r="G726" s="3">
        <f t="shared" si="36"/>
        <v>0</v>
      </c>
      <c r="H726" s="3" t="e">
        <f t="shared" si="37"/>
        <v>#DIV/0!</v>
      </c>
      <c r="I726" s="3" t="e">
        <f t="shared" si="38"/>
        <v>#DIV/0!</v>
      </c>
    </row>
    <row r="727" spans="1:9" x14ac:dyDescent="0.55000000000000004">
      <c r="A727" s="1">
        <v>46383</v>
      </c>
      <c r="G727" s="3">
        <f t="shared" si="36"/>
        <v>0</v>
      </c>
      <c r="H727" s="3" t="e">
        <f t="shared" si="37"/>
        <v>#DIV/0!</v>
      </c>
      <c r="I727" s="3" t="e">
        <f t="shared" si="38"/>
        <v>#DIV/0!</v>
      </c>
    </row>
    <row r="728" spans="1:9" x14ac:dyDescent="0.55000000000000004">
      <c r="A728" s="1">
        <v>46384</v>
      </c>
      <c r="G728" s="3">
        <f t="shared" si="36"/>
        <v>0</v>
      </c>
      <c r="H728" s="3" t="e">
        <f t="shared" si="37"/>
        <v>#DIV/0!</v>
      </c>
      <c r="I728" s="3" t="e">
        <f t="shared" si="38"/>
        <v>#DIV/0!</v>
      </c>
    </row>
    <row r="729" spans="1:9" x14ac:dyDescent="0.55000000000000004">
      <c r="A729" s="1">
        <v>46385</v>
      </c>
      <c r="G729" s="3">
        <f t="shared" si="36"/>
        <v>0</v>
      </c>
      <c r="H729" s="3" t="e">
        <f t="shared" si="37"/>
        <v>#DIV/0!</v>
      </c>
      <c r="I729" s="3" t="e">
        <f t="shared" si="38"/>
        <v>#DIV/0!</v>
      </c>
    </row>
    <row r="730" spans="1:9" x14ac:dyDescent="0.55000000000000004">
      <c r="A730" s="1">
        <v>46386</v>
      </c>
      <c r="G730" s="3">
        <f t="shared" si="36"/>
        <v>0</v>
      </c>
      <c r="H730" s="3" t="e">
        <f t="shared" si="37"/>
        <v>#DIV/0!</v>
      </c>
      <c r="I730" s="3" t="e">
        <f t="shared" si="38"/>
        <v>#DIV/0!</v>
      </c>
    </row>
    <row r="731" spans="1:9" x14ac:dyDescent="0.55000000000000004">
      <c r="A731" s="1">
        <v>46387</v>
      </c>
      <c r="G731" s="3">
        <f t="shared" si="36"/>
        <v>0</v>
      </c>
      <c r="H731" s="3" t="e">
        <f t="shared" si="37"/>
        <v>#DIV/0!</v>
      </c>
      <c r="I731" s="3" t="e">
        <f t="shared" si="38"/>
        <v>#DIV/0!</v>
      </c>
    </row>
  </sheetData>
  <phoneticPr fontId="2"/>
  <dataValidations count="1">
    <dataValidation imeMode="off" allowBlank="1" showInputMessage="1" showErrorMessage="1" sqref="B72:C85 D73:H85 B1:C69 D1:F72 B87:H1048576 G1:I1048576" xr:uid="{30E0BCCF-2C06-4ED8-A05C-5544A30AD1DF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6704-EE9B-4AB2-929D-09B22FB6F5F1}">
  <dimension ref="A1:J25"/>
  <sheetViews>
    <sheetView tabSelected="1" workbookViewId="0">
      <selection activeCell="H14" sqref="H14"/>
    </sheetView>
  </sheetViews>
  <sheetFormatPr defaultRowHeight="18" x14ac:dyDescent="0.55000000000000004"/>
  <cols>
    <col min="1" max="1" width="5.1640625" style="7" bestFit="1" customWidth="1"/>
    <col min="2" max="2" width="3.1640625" style="12" bestFit="1" customWidth="1"/>
    <col min="3" max="3" width="4.83203125" style="7" bestFit="1" customWidth="1"/>
    <col min="4" max="6" width="8.6640625" style="8"/>
    <col min="7" max="7" width="8.5" style="8" bestFit="1" customWidth="1"/>
    <col min="8" max="8" width="10.4140625" style="8" bestFit="1" customWidth="1"/>
    <col min="9" max="9" width="8.5" style="8" bestFit="1" customWidth="1"/>
    <col min="10" max="10" width="10.4140625" style="8" bestFit="1" customWidth="1"/>
  </cols>
  <sheetData>
    <row r="1" spans="1:10" x14ac:dyDescent="0.55000000000000004">
      <c r="A1" s="9" t="s">
        <v>9</v>
      </c>
      <c r="B1" s="11" t="s">
        <v>10</v>
      </c>
      <c r="C1" s="9" t="s">
        <v>12</v>
      </c>
      <c r="D1" s="10" t="s">
        <v>1</v>
      </c>
      <c r="E1" s="10" t="s">
        <v>15</v>
      </c>
      <c r="F1" s="10" t="s">
        <v>7</v>
      </c>
      <c r="G1" s="10" t="s">
        <v>13</v>
      </c>
      <c r="H1" s="10" t="s">
        <v>11</v>
      </c>
      <c r="I1" s="10" t="s">
        <v>8</v>
      </c>
      <c r="J1" s="10" t="s">
        <v>14</v>
      </c>
    </row>
    <row r="2" spans="1:10" x14ac:dyDescent="0.55000000000000004">
      <c r="A2" s="9">
        <v>2025</v>
      </c>
      <c r="B2" s="11">
        <v>1</v>
      </c>
      <c r="C2" s="13" cm="1">
        <f t="array" ref="C2">_xlfn.LET(_xlpm.y,$A2,_xlpm.m,$B2,
 _xlpm.d,一覧!$A$2:$A$99999,
 _xlpm.net,一覧!$C$2:$C$99999,
 IFERROR(ROWS(_xlfn._xlws.FILTER(_xlpm.d,(YEAR(_xlpm.d)=_xlpm.y)*(MONTH(_xlpm.d)=_xlpm.m)*(_xlpm.net&lt;&gt;""))),0))</f>
        <v>0</v>
      </c>
      <c r="D2" s="3" cm="1">
        <f t="array" ref="D2">_xlfn.LET(_xlpm.y,$A2,_xlpm.m,$B2, _xlpm.d,一覧!$A$2:$A$99999, _xlpm.cnt,一覧!$B$2:$B$99999,
 _xlpm.a,_xlfn._xlws.FILTER(_xlpm.cnt,(YEAR(_xlpm.d)=_xlpm.y)*(MONTH(_xlpm.d)=_xlpm.m)),
 IFERROR(SUM(_xlpm.a),0))</f>
        <v>0</v>
      </c>
      <c r="E2" s="3" cm="1">
        <f t="array" ref="E2">_xlfn.LET(_xlpm.y,$A2,_xlpm.m,$B2, _xlpm.d,一覧!$A$2:$A$99999, _xlpm.net,一覧!$C$2:$C$99999,
 _xlpm.a,_xlfn._xlws.FILTER(_xlpm.net,(YEAR(_xlpm.d)=_xlpm.y)*(MONTH(_xlpm.d)=_xlpm.m)),
 IFERROR(SUM(_xlpm.a),0))</f>
        <v>0</v>
      </c>
      <c r="F2" s="3" cm="1">
        <f t="array" ref="F2">_xlfn.LET(_xlpm.y,$A2,_xlpm.m,$B2, _xlpm.d,一覧!$A$2:$A$99999, _xlpm.net,一覧!$G$2:$G$99999,
 _xlpm.a,_xlfn._xlws.FILTER(_xlpm.net,(YEAR(_xlpm.d)=_xlpm.y)*(MONTH(_xlpm.d)=_xlpm.m)),
 IFERROR(SUM(_xlpm.a),0))</f>
        <v>0</v>
      </c>
      <c r="G2" s="3" t="str" cm="1">
        <f t="array" ref="G2">_xlfn.LET(_xlpm.y,$A2,_xlpm.m,$B2,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/>
      </c>
      <c r="H2" s="3" t="str" cm="1">
        <f t="array" ref="H2">_xlfn.LET(_xlpm.y,$A2,_xlpm.m,$B2,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  <c r="I2" s="3" t="str" cm="1">
        <f t="array" ref="I2">_xlfn.LET(_xlpm.y,$A2,_xlpm.m,$B2,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/>
      </c>
      <c r="J2" s="3" t="str" cm="1">
        <f t="array" ref="J2">_xlfn.LET(_xlpm.y,$A2,_xlpm.m,$B2,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</row>
    <row r="3" spans="1:10" x14ac:dyDescent="0.55000000000000004">
      <c r="A3" s="9">
        <v>2025</v>
      </c>
      <c r="B3" s="11">
        <v>2</v>
      </c>
      <c r="C3" s="13" cm="1">
        <f t="array" ref="C3">_xlfn.LET(_xlpm.y,$A3,_xlpm.m,$B3,
 _xlpm.d,一覧!$A$2:$A$99999,
 _xlpm.net,一覧!$C$2:$C$99999,
 IFERROR(ROWS(_xlfn._xlws.FILTER(_xlpm.d,(YEAR(_xlpm.d)=_xlpm.y)*(MONTH(_xlpm.d)=_xlpm.m)*(_xlpm.net&lt;&gt;""))),0))</f>
        <v>0</v>
      </c>
      <c r="D3" s="3" cm="1">
        <f t="array" ref="D3">_xlfn.LET(_xlpm.y,$A3,_xlpm.m,$B3, _xlpm.d,一覧!$A$2:$A$99999, _xlpm.cnt,一覧!$B$2:$B$99999,
 _xlpm.a,_xlfn._xlws.FILTER(_xlpm.cnt,(YEAR(_xlpm.d)=_xlpm.y)*(MONTH(_xlpm.d)=_xlpm.m)),
 IFERROR(SUM(_xlpm.a),0))</f>
        <v>0</v>
      </c>
      <c r="E3" s="3" cm="1">
        <f t="array" ref="E3">_xlfn.LET(_xlpm.y,$A3,_xlpm.m,$B3, _xlpm.d,一覧!$A$2:$A$99999, _xlpm.net,一覧!$C$2:$C$99999,
 _xlpm.a,_xlfn._xlws.FILTER(_xlpm.net,(YEAR(_xlpm.d)=_xlpm.y)*(MONTH(_xlpm.d)=_xlpm.m)),
 IFERROR(SUM(_xlpm.a),0))</f>
        <v>0</v>
      </c>
      <c r="F3" s="3" cm="1">
        <f t="array" ref="F3">_xlfn.LET(_xlpm.y,$A3,_xlpm.m,$B3, _xlpm.d,一覧!$A$2:$A$99999, _xlpm.net,一覧!$G$2:$G$99999,
 _xlpm.a,_xlfn._xlws.FILTER(_xlpm.net,(YEAR(_xlpm.d)=_xlpm.y)*(MONTH(_xlpm.d)=_xlpm.m)),
 IFERROR(SUM(_xlpm.a),0))</f>
        <v>0</v>
      </c>
      <c r="G3" s="3" t="str" cm="1">
        <f t="array" ref="G3">_xlfn.LET(_xlpm.y,$A3,_xlpm.m,$B3,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/>
      </c>
      <c r="H3" s="3" t="str" cm="1">
        <f t="array" ref="H3">_xlfn.LET(_xlpm.y,$A3,_xlpm.m,$B3,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  <c r="I3" s="3" t="str" cm="1">
        <f t="array" ref="I3">_xlfn.LET(_xlpm.y,$A3,_xlpm.m,$B3,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/>
      </c>
      <c r="J3" s="3" t="str" cm="1">
        <f t="array" ref="J3">_xlfn.LET(_xlpm.y,$A3,_xlpm.m,$B3,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</row>
    <row r="4" spans="1:10" x14ac:dyDescent="0.55000000000000004">
      <c r="A4" s="9">
        <v>2025</v>
      </c>
      <c r="B4" s="11">
        <v>3</v>
      </c>
      <c r="C4" s="13" cm="1">
        <f t="array" ref="C4">_xlfn.LET(_xlpm.y,$A4,_xlpm.m,$B4,
 _xlpm.d,一覧!$A$2:$A$99999,
 _xlpm.net,一覧!$C$2:$C$99999,
 IFERROR(ROWS(_xlfn._xlws.FILTER(_xlpm.d,(YEAR(_xlpm.d)=_xlpm.y)*(MONTH(_xlpm.d)=_xlpm.m)*(_xlpm.net&lt;&gt;""))),0))</f>
        <v>15</v>
      </c>
      <c r="D4" s="3" cm="1">
        <f t="array" ref="D4">_xlfn.LET(_xlpm.y,$A4,_xlpm.m,$B4, _xlpm.d,一覧!$A$2:$A$99999, _xlpm.cnt,一覧!$B$2:$B$99999,
 _xlpm.a,_xlfn._xlws.FILTER(_xlpm.cnt,(YEAR(_xlpm.d)=_xlpm.y)*(MONTH(_xlpm.d)=_xlpm.m)),
 IFERROR(SUM(_xlpm.a),0))</f>
        <v>169</v>
      </c>
      <c r="E4" s="3" cm="1">
        <f t="array" ref="E4">_xlfn.LET(_xlpm.y,$A4,_xlpm.m,$B4, _xlpm.d,一覧!$A$2:$A$99999, _xlpm.net,一覧!$C$2:$C$99999,
 _xlpm.a,_xlfn._xlws.FILTER(_xlpm.net,(YEAR(_xlpm.d)=_xlpm.y)*(MONTH(_xlpm.d)=_xlpm.m)),
 IFERROR(SUM(_xlpm.a),0))</f>
        <v>75930</v>
      </c>
      <c r="F4" s="3" cm="1">
        <f t="array" ref="F4">_xlfn.LET(_xlpm.y,$A4,_xlpm.m,$B4, _xlpm.d,一覧!$A$2:$A$99999, _xlpm.net,一覧!$G$2:$G$99999,
 _xlpm.a,_xlfn._xlws.FILTER(_xlpm.net,(YEAR(_xlpm.d)=_xlpm.y)*(MONTH(_xlpm.d)=_xlpm.m)),
 IFERROR(SUM(_xlpm.a),0))</f>
        <v>78554</v>
      </c>
      <c r="G4" s="3" cm="1">
        <f t="array" ref="G4">_xlfn.LET(_xlpm.y,$A4,_xlpm.m,$B4,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>449.28994082840239</v>
      </c>
      <c r="H4" s="3" cm="1">
        <f t="array" ref="H4">_xlfn.LET(_xlpm.y,$A4,_xlpm.m,$B4,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447.07692307692309</v>
      </c>
      <c r="I4" s="3" cm="1">
        <f t="array" ref="I4">_xlfn.LET(_xlpm.y,$A4,_xlpm.m,$B4,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>464.81656804733728</v>
      </c>
      <c r="J4" s="3" cm="1">
        <f t="array" ref="J4">_xlfn.LET(_xlpm.y,$A4,_xlpm.m,$B4,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458.42857142857144</v>
      </c>
    </row>
    <row r="5" spans="1:10" x14ac:dyDescent="0.55000000000000004">
      <c r="A5" s="9">
        <v>2025</v>
      </c>
      <c r="B5" s="11">
        <v>4</v>
      </c>
      <c r="C5" s="13" cm="1">
        <f t="array" ref="C5">_xlfn.LET(_xlpm.y,$A5,_xlpm.m,$B5,
 _xlpm.d,一覧!$A$2:$A$99999,
 _xlpm.net,一覧!$C$2:$C$99999,
 IFERROR(ROWS(_xlfn._xlws.FILTER(_xlpm.d,(YEAR(_xlpm.d)=_xlpm.y)*(MONTH(_xlpm.d)=_xlpm.m)*(_xlpm.net&lt;&gt;""))),0))</f>
        <v>13</v>
      </c>
      <c r="D5" s="3" cm="1">
        <f t="array" ref="D5">_xlfn.LET(_xlpm.y,$A5,_xlpm.m,$B5, _xlpm.d,一覧!$A$2:$A$99999, _xlpm.cnt,一覧!$B$2:$B$99999,
 _xlpm.a,_xlfn._xlws.FILTER(_xlpm.cnt,(YEAR(_xlpm.d)=_xlpm.y)*(MONTH(_xlpm.d)=_xlpm.m)),
 IFERROR(SUM(_xlpm.a),0))</f>
        <v>213</v>
      </c>
      <c r="E5" s="3" cm="1">
        <f t="array" ref="E5">_xlfn.LET(_xlpm.y,$A5,_xlpm.m,$B5, _xlpm.d,一覧!$A$2:$A$99999, _xlpm.net,一覧!$C$2:$C$99999,
 _xlpm.a,_xlfn._xlws.FILTER(_xlpm.net,(YEAR(_xlpm.d)=_xlpm.y)*(MONTH(_xlpm.d)=_xlpm.m)),
 IFERROR(SUM(_xlpm.a),0))</f>
        <v>87812</v>
      </c>
      <c r="F5" s="3" cm="1">
        <f t="array" ref="F5">_xlfn.LET(_xlpm.y,$A5,_xlpm.m,$B5, _xlpm.d,一覧!$A$2:$A$99999, _xlpm.net,一覧!$G$2:$G$99999,
 _xlpm.a,_xlfn._xlws.FILTER(_xlpm.net,(YEAR(_xlpm.d)=_xlpm.y)*(MONTH(_xlpm.d)=_xlpm.m)),
 IFERROR(SUM(_xlpm.a),0))</f>
        <v>114745</v>
      </c>
      <c r="G5" s="3" cm="1">
        <f t="array" ref="G5">_xlfn.LET(_xlpm.y,$A5,_xlpm.m,$B5,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>412.26291079812205</v>
      </c>
      <c r="H5" s="3" cm="1">
        <f t="array" ref="H5">_xlfn.LET(_xlpm.y,$A5,_xlpm.m,$B5,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419.34375</v>
      </c>
      <c r="I5" s="3" cm="1">
        <f t="array" ref="I5">_xlfn.LET(_xlpm.y,$A5,_xlpm.m,$B5,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>538.70892018779341</v>
      </c>
      <c r="J5" s="3" cm="1">
        <f t="array" ref="J5">_xlfn.LET(_xlpm.y,$A5,_xlpm.m,$B5,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485.57894736842104</v>
      </c>
    </row>
    <row r="6" spans="1:10" x14ac:dyDescent="0.55000000000000004">
      <c r="A6" s="9">
        <v>2025</v>
      </c>
      <c r="B6" s="11">
        <v>5</v>
      </c>
      <c r="C6" s="13" cm="1">
        <f t="array" ref="C6">_xlfn.LET(_xlpm.y,$A6,_xlpm.m,$B6,
 _xlpm.d,一覧!$A$2:$A$99999,
 _xlpm.net,一覧!$C$2:$C$99999,
 IFERROR(ROWS(_xlfn._xlws.FILTER(_xlpm.d,(YEAR(_xlpm.d)=_xlpm.y)*(MONTH(_xlpm.d)=_xlpm.m)*(_xlpm.net&lt;&gt;""))),0))</f>
        <v>0</v>
      </c>
      <c r="D6" s="3" cm="1">
        <f t="array" ref="D6">_xlfn.LET(_xlpm.y,$A6,_xlpm.m,$B6, _xlpm.d,一覧!$A$2:$A$99999, _xlpm.cnt,一覧!$B$2:$B$99999,
 _xlpm.a,_xlfn._xlws.FILTER(_xlpm.cnt,(YEAR(_xlpm.d)=_xlpm.y)*(MONTH(_xlpm.d)=_xlpm.m)),
 IFERROR(SUM(_xlpm.a),0))</f>
        <v>0</v>
      </c>
      <c r="E6" s="3" cm="1">
        <f t="array" ref="E6">_xlfn.LET(_xlpm.y,$A6,_xlpm.m,$B6, _xlpm.d,一覧!$A$2:$A$99999, _xlpm.net,一覧!$C$2:$C$99999,
 _xlpm.a,_xlfn._xlws.FILTER(_xlpm.net,(YEAR(_xlpm.d)=_xlpm.y)*(MONTH(_xlpm.d)=_xlpm.m)),
 IFERROR(SUM(_xlpm.a),0))</f>
        <v>0</v>
      </c>
      <c r="F6" s="3" cm="1">
        <f t="array" ref="F6">_xlfn.LET(_xlpm.y,$A6,_xlpm.m,$B6, _xlpm.d,一覧!$A$2:$A$99999, _xlpm.net,一覧!$G$2:$G$99999,
 _xlpm.a,_xlfn._xlws.FILTER(_xlpm.net,(YEAR(_xlpm.d)=_xlpm.y)*(MONTH(_xlpm.d)=_xlpm.m)),
 IFERROR(SUM(_xlpm.a),0))</f>
        <v>0</v>
      </c>
      <c r="G6" s="3" t="str" cm="1">
        <f t="array" ref="G6">_xlfn.LET(_xlpm.y,$A6,_xlpm.m,$B6,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/>
      </c>
      <c r="H6" s="3" t="str" cm="1">
        <f t="array" ref="H6">_xlfn.LET(_xlpm.y,$A6,_xlpm.m,$B6,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  <c r="I6" s="3" t="str" cm="1">
        <f t="array" ref="I6">_xlfn.LET(_xlpm.y,$A6,_xlpm.m,$B6,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/>
      </c>
      <c r="J6" s="3" t="str" cm="1">
        <f t="array" ref="J6">_xlfn.LET(_xlpm.y,$A6,_xlpm.m,$B6,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</row>
    <row r="7" spans="1:10" x14ac:dyDescent="0.55000000000000004">
      <c r="A7" s="9">
        <v>2025</v>
      </c>
      <c r="B7" s="11">
        <v>6</v>
      </c>
      <c r="C7" s="13" cm="1">
        <f t="array" ref="C7">_xlfn.LET(_xlpm.y,$A7,_xlpm.m,$B7,
 _xlpm.d,一覧!$A$2:$A$99999,
 _xlpm.net,一覧!$C$2:$C$99999,
 IFERROR(ROWS(_xlfn._xlws.FILTER(_xlpm.d,(YEAR(_xlpm.d)=_xlpm.y)*(MONTH(_xlpm.d)=_xlpm.m)*(_xlpm.net&lt;&gt;""))),0))</f>
        <v>12</v>
      </c>
      <c r="D7" s="3" cm="1">
        <f t="array" ref="D7">_xlfn.LET(_xlpm.y,$A7,_xlpm.m,$B7, _xlpm.d,一覧!$A$2:$A$99999, _xlpm.cnt,一覧!$B$2:$B$99999,
 _xlpm.a,_xlfn._xlws.FILTER(_xlpm.cnt,(YEAR(_xlpm.d)=_xlpm.y)*(MONTH(_xlpm.d)=_xlpm.m)),
 IFERROR(SUM(_xlpm.a),0))</f>
        <v>129</v>
      </c>
      <c r="E7" s="3" cm="1">
        <f t="array" ref="E7">_xlfn.LET(_xlpm.y,$A7,_xlpm.m,$B7, _xlpm.d,一覧!$A$2:$A$99999, _xlpm.net,一覧!$C$2:$C$99999,
 _xlpm.a,_xlfn._xlws.FILTER(_xlpm.net,(YEAR(_xlpm.d)=_xlpm.y)*(MONTH(_xlpm.d)=_xlpm.m)),
 IFERROR(SUM(_xlpm.a),0))</f>
        <v>63834</v>
      </c>
      <c r="F7" s="3" cm="1">
        <f t="array" ref="F7">_xlfn.LET(_xlpm.y,$A7,_xlpm.m,$B7, _xlpm.d,一覧!$A$2:$A$99999, _xlpm.net,一覧!$G$2:$G$99999,
 _xlpm.a,_xlfn._xlws.FILTER(_xlpm.net,(YEAR(_xlpm.d)=_xlpm.y)*(MONTH(_xlpm.d)=_xlpm.m)),
 IFERROR(SUM(_xlpm.a),0))</f>
        <v>73522</v>
      </c>
      <c r="G7" s="3" cm="1">
        <f t="array" ref="G7">_xlfn.LET(_xlpm.y,$A7,_xlpm.m,$B7,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>494.83720930232556</v>
      </c>
      <c r="H7" s="3" cm="1">
        <f t="array" ref="H7">_xlfn.LET(_xlpm.y,$A7,_xlpm.m,$B7,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502.44166666666666</v>
      </c>
      <c r="I7" s="3" cm="1">
        <f t="array" ref="I7">_xlfn.LET(_xlpm.y,$A7,_xlpm.m,$B7,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>569.93798449612405</v>
      </c>
      <c r="J7" s="3" cm="1">
        <f t="array" ref="J7">_xlfn.LET(_xlpm.y,$A7,_xlpm.m,$B7,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554.58333333333326</v>
      </c>
    </row>
    <row r="8" spans="1:10" x14ac:dyDescent="0.55000000000000004">
      <c r="A8" s="9">
        <v>2025</v>
      </c>
      <c r="B8" s="11">
        <v>7</v>
      </c>
      <c r="C8" s="13" cm="1">
        <f t="array" ref="C8">_xlfn.LET(_xlpm.y,$A8,_xlpm.m,$B8,
 _xlpm.d,一覧!$A$2:$A$99999,
 _xlpm.net,一覧!$C$2:$C$99999,
 IFERROR(ROWS(_xlfn._xlws.FILTER(_xlpm.d,(YEAR(_xlpm.d)=_xlpm.y)*(MONTH(_xlpm.d)=_xlpm.m)*(_xlpm.net&lt;&gt;""))),0))</f>
        <v>14</v>
      </c>
      <c r="D8" s="3" cm="1">
        <f t="array" ref="D8">_xlfn.LET(_xlpm.y,$A8,_xlpm.m,$B8, _xlpm.d,一覧!$A$2:$A$99999, _xlpm.cnt,一覧!$B$2:$B$99999,
 _xlpm.a,_xlfn._xlws.FILTER(_xlpm.cnt,(YEAR(_xlpm.d)=_xlpm.y)*(MONTH(_xlpm.d)=_xlpm.m)),
 IFERROR(SUM(_xlpm.a),0))</f>
        <v>271</v>
      </c>
      <c r="E8" s="3" cm="1">
        <f t="array" ref="E8">_xlfn.LET(_xlpm.y,$A8,_xlpm.m,$B8, _xlpm.d,一覧!$A$2:$A$99999, _xlpm.net,一覧!$C$2:$C$99999,
 _xlpm.a,_xlfn._xlws.FILTER(_xlpm.net,(YEAR(_xlpm.d)=_xlpm.y)*(MONTH(_xlpm.d)=_xlpm.m)),
 IFERROR(SUM(_xlpm.a),0))</f>
        <v>117275</v>
      </c>
      <c r="F8" s="3" cm="1">
        <f t="array" ref="F8">_xlfn.LET(_xlpm.y,$A8,_xlpm.m,$B8, _xlpm.d,一覧!$A$2:$A$99999, _xlpm.net,一覧!$G$2:$G$99999,
 _xlpm.a,_xlfn._xlws.FILTER(_xlpm.net,(YEAR(_xlpm.d)=_xlpm.y)*(MONTH(_xlpm.d)=_xlpm.m)),
 IFERROR(SUM(_xlpm.a),0))</f>
        <v>152841</v>
      </c>
      <c r="G8" s="3" cm="1">
        <f t="array" ref="G8">_xlfn.LET(_xlpm.y,$A8,_xlpm.m,$B8,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>432.74907749077488</v>
      </c>
      <c r="H8" s="3" cm="1">
        <f t="array" ref="H8">_xlfn.LET(_xlpm.y,$A8,_xlpm.m,$B8,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437.01470588235293</v>
      </c>
      <c r="I8" s="3" cm="1">
        <f t="array" ref="I8">_xlfn.LET(_xlpm.y,$A8,_xlpm.m,$B8,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>563.9889298892989</v>
      </c>
      <c r="J8" s="3" cm="1">
        <f t="array" ref="J8">_xlfn.LET(_xlpm.y,$A8,_xlpm.m,$B8,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503.58265720081135</v>
      </c>
    </row>
    <row r="9" spans="1:10" x14ac:dyDescent="0.55000000000000004">
      <c r="A9" s="9">
        <v>2025</v>
      </c>
      <c r="B9" s="11">
        <v>8</v>
      </c>
      <c r="C9" s="13" cm="1">
        <f t="array" ref="C9">_xlfn.LET(_xlpm.y,$A9,_xlpm.m,$B9,
 _xlpm.d,一覧!$A$2:$A$99999,
 _xlpm.net,一覧!$C$2:$C$99999,
 IFERROR(ROWS(_xlfn._xlws.FILTER(_xlpm.d,(YEAR(_xlpm.d)=_xlpm.y)*(MONTH(_xlpm.d)=_xlpm.m)*(_xlpm.net&lt;&gt;""))),0))</f>
        <v>15</v>
      </c>
      <c r="D9" s="3" cm="1">
        <f t="array" ref="D9">_xlfn.LET(_xlpm.y,$A9,_xlpm.m,$B9, _xlpm.d,一覧!$A$2:$A$99999, _xlpm.cnt,一覧!$B$2:$B$99999,
 _xlpm.a,_xlfn._xlws.FILTER(_xlpm.cnt,(YEAR(_xlpm.d)=_xlpm.y)*(MONTH(_xlpm.d)=_xlpm.m)),
 IFERROR(SUM(_xlpm.a),0))</f>
        <v>347</v>
      </c>
      <c r="E9" s="3" cm="1">
        <f t="array" ref="E9">_xlfn.LET(_xlpm.y,$A9,_xlpm.m,$B9, _xlpm.d,一覧!$A$2:$A$99999, _xlpm.net,一覧!$C$2:$C$99999,
 _xlpm.a,_xlfn._xlws.FILTER(_xlpm.net,(YEAR(_xlpm.d)=_xlpm.y)*(MONTH(_xlpm.d)=_xlpm.m)),
 IFERROR(SUM(_xlpm.a),0))</f>
        <v>158006</v>
      </c>
      <c r="F9" s="3" cm="1">
        <f t="array" ref="F9">_xlfn.LET(_xlpm.y,$A9,_xlpm.m,$B9, _xlpm.d,一覧!$A$2:$A$99999, _xlpm.net,一覧!$G$2:$G$99999,
 _xlpm.a,_xlfn._xlws.FILTER(_xlpm.net,(YEAR(_xlpm.d)=_xlpm.y)*(MONTH(_xlpm.d)=_xlpm.m)),
 IFERROR(SUM(_xlpm.a),0))</f>
        <v>205910</v>
      </c>
      <c r="G9" s="3" cm="1">
        <f t="array" ref="G9">_xlfn.LET(_xlpm.y,$A9,_xlpm.m,$B9,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>455.34870317002884</v>
      </c>
      <c r="H9" s="3" cm="1">
        <f t="array" ref="H9">_xlfn.LET(_xlpm.y,$A9,_xlpm.m,$B9,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468.2</v>
      </c>
      <c r="I9" s="3" cm="1">
        <f t="array" ref="I9">_xlfn.LET(_xlpm.y,$A9,_xlpm.m,$B9,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>593.40057636887605</v>
      </c>
      <c r="J9" s="3" cm="1">
        <f t="array" ref="J9">_xlfn.LET(_xlpm.y,$A9,_xlpm.m,$B9,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642.9</v>
      </c>
    </row>
    <row r="10" spans="1:10" x14ac:dyDescent="0.55000000000000004">
      <c r="A10" s="9">
        <v>2025</v>
      </c>
      <c r="B10" s="11">
        <v>9</v>
      </c>
      <c r="C10" s="13" cm="1">
        <f t="array" ref="C10">_xlfn.LET(_xlpm.y,$A10,_xlpm.m,$B10,
 _xlpm.d,一覧!$A$2:$A$99999,
 _xlpm.net,一覧!$C$2:$C$99999,
 IFERROR(ROWS(_xlfn._xlws.FILTER(_xlpm.d,(YEAR(_xlpm.d)=_xlpm.y)*(MONTH(_xlpm.d)=_xlpm.m)*(_xlpm.net&lt;&gt;""))),0))</f>
        <v>3</v>
      </c>
      <c r="D10" s="3" cm="1">
        <f t="array" ref="D10">_xlfn.LET(_xlpm.y,$A10,_xlpm.m,$B10, _xlpm.d,一覧!$A$2:$A$99999, _xlpm.cnt,一覧!$B$2:$B$99999,
 _xlpm.a,_xlfn._xlws.FILTER(_xlpm.cnt,(YEAR(_xlpm.d)=_xlpm.y)*(MONTH(_xlpm.d)=_xlpm.m)),
 IFERROR(SUM(_xlpm.a),0))</f>
        <v>51</v>
      </c>
      <c r="E10" s="3" cm="1">
        <f t="array" ref="E10">_xlfn.LET(_xlpm.y,$A10,_xlpm.m,$B10, _xlpm.d,一覧!$A$2:$A$99999, _xlpm.net,一覧!$C$2:$C$99999,
 _xlpm.a,_xlfn._xlws.FILTER(_xlpm.net,(YEAR(_xlpm.d)=_xlpm.y)*(MONTH(_xlpm.d)=_xlpm.m)),
 IFERROR(SUM(_xlpm.a),0))</f>
        <v>25146</v>
      </c>
      <c r="F10" s="3" cm="1">
        <f t="array" ref="F10">_xlfn.LET(_xlpm.y,$A10,_xlpm.m,$B10, _xlpm.d,一覧!$A$2:$A$99999, _xlpm.net,一覧!$G$2:$G$99999,
 _xlpm.a,_xlfn._xlws.FILTER(_xlpm.net,(YEAR(_xlpm.d)=_xlpm.y)*(MONTH(_xlpm.d)=_xlpm.m)),
 IFERROR(SUM(_xlpm.a),0))</f>
        <v>27256</v>
      </c>
      <c r="G10" s="3" cm="1">
        <f t="array" ref="G10">_xlfn.LET(_xlpm.y,$A10,_xlpm.m,$B10,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>493.05882352941177</v>
      </c>
      <c r="H10" s="3" cm="1">
        <f t="array" ref="H10">_xlfn.LET(_xlpm.y,$A10,_xlpm.m,$B10,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447.625</v>
      </c>
      <c r="I10" s="3" cm="1">
        <f t="array" ref="I10">_xlfn.LET(_xlpm.y,$A10,_xlpm.m,$B10,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>534.43137254901956</v>
      </c>
      <c r="J10" s="3" cm="1">
        <f t="array" ref="J10">_xlfn.LET(_xlpm.y,$A10,_xlpm.m,$B10,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523.25</v>
      </c>
    </row>
    <row r="11" spans="1:10" x14ac:dyDescent="0.55000000000000004">
      <c r="A11" s="9">
        <v>2025</v>
      </c>
      <c r="B11" s="11">
        <v>10</v>
      </c>
      <c r="C11" s="13" cm="1">
        <f t="array" ref="C11">_xlfn.LET(_xlpm.y,$A11,_xlpm.m,$B11,
 _xlpm.d,一覧!$A$2:$A$99999,
 _xlpm.net,一覧!$C$2:$C$99999,
 IFERROR(ROWS(_xlfn._xlws.FILTER(_xlpm.d,(YEAR(_xlpm.d)=_xlpm.y)*(MONTH(_xlpm.d)=_xlpm.m)*(_xlpm.net&lt;&gt;""))),0))</f>
        <v>11</v>
      </c>
      <c r="D11" s="3" cm="1">
        <f t="array" ref="D11">_xlfn.LET(_xlpm.y,$A11,_xlpm.m,$B11, _xlpm.d,一覧!$A$2:$A$99999, _xlpm.cnt,一覧!$B$2:$B$99999,
 _xlpm.a,_xlfn._xlws.FILTER(_xlpm.cnt,(YEAR(_xlpm.d)=_xlpm.y)*(MONTH(_xlpm.d)=_xlpm.m)),
 IFERROR(SUM(_xlpm.a),0))</f>
        <v>257</v>
      </c>
      <c r="E11" s="3" cm="1">
        <f t="array" ref="E11">_xlfn.LET(_xlpm.y,$A11,_xlpm.m,$B11, _xlpm.d,一覧!$A$2:$A$99999, _xlpm.net,一覧!$C$2:$C$99999,
 _xlpm.a,_xlfn._xlws.FILTER(_xlpm.net,(YEAR(_xlpm.d)=_xlpm.y)*(MONTH(_xlpm.d)=_xlpm.m)),
 IFERROR(SUM(_xlpm.a),0))</f>
        <v>115281</v>
      </c>
      <c r="F11" s="3" cm="1">
        <f t="array" ref="F11">_xlfn.LET(_xlpm.y,$A11,_xlpm.m,$B11, _xlpm.d,一覧!$A$2:$A$99999, _xlpm.net,一覧!$G$2:$G$99999,
 _xlpm.a,_xlfn._xlws.FILTER(_xlpm.net,(YEAR(_xlpm.d)=_xlpm.y)*(MONTH(_xlpm.d)=_xlpm.m)),
 IFERROR(SUM(_xlpm.a),0))</f>
        <v>139307</v>
      </c>
      <c r="G11" s="3" cm="1">
        <f t="array" ref="G11">_xlfn.LET(_xlpm.y,$A11,_xlpm.m,$B11,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>448.56420233463035</v>
      </c>
      <c r="H11" s="3" cm="1">
        <f t="array" ref="H11">_xlfn.LET(_xlpm.y,$A11,_xlpm.m,$B11,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434.65</v>
      </c>
      <c r="I11" s="3" cm="1">
        <f t="array" ref="I11">_xlfn.LET(_xlpm.y,$A11,_xlpm.m,$B11,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>542.05058365758759</v>
      </c>
      <c r="J11" s="3" cm="1">
        <f t="array" ref="J11">_xlfn.LET(_xlpm.y,$A11,_xlpm.m,$B11,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567.33333333333337</v>
      </c>
    </row>
    <row r="12" spans="1:10" x14ac:dyDescent="0.55000000000000004">
      <c r="A12" s="9">
        <v>2025</v>
      </c>
      <c r="B12" s="11">
        <v>11</v>
      </c>
      <c r="C12" s="13" cm="1">
        <f t="array" ref="C12">_xlfn.LET(_xlpm.y,$A12,_xlpm.m,$B12,
 _xlpm.d,一覧!$A$2:$A$99999,
 _xlpm.net,一覧!$C$2:$C$99999,
 IFERROR(ROWS(_xlfn._xlws.FILTER(_xlpm.d,(YEAR(_xlpm.d)=_xlpm.y)*(MONTH(_xlpm.d)=_xlpm.m)*(_xlpm.net&lt;&gt;""))),0))</f>
        <v>1</v>
      </c>
      <c r="D12" s="3" cm="1">
        <f t="array" ref="D12">_xlfn.LET(_xlpm.y,$A12,_xlpm.m,$B12, _xlpm.d,一覧!$A$2:$A$99999, _xlpm.cnt,一覧!$B$2:$B$99999,
 _xlpm.a,_xlfn._xlws.FILTER(_xlpm.cnt,(YEAR(_xlpm.d)=_xlpm.y)*(MONTH(_xlpm.d)=_xlpm.m)),
 IFERROR(SUM(_xlpm.a),0))</f>
        <v>1</v>
      </c>
      <c r="E12" s="3" cm="1">
        <f t="array" ref="E12">_xlfn.LET(_xlpm.y,$A12,_xlpm.m,$B12, _xlpm.d,一覧!$A$2:$A$99999, _xlpm.net,一覧!$C$2:$C$99999,
 _xlpm.a,_xlfn._xlws.FILTER(_xlpm.net,(YEAR(_xlpm.d)=_xlpm.y)*(MONTH(_xlpm.d)=_xlpm.m)),
 IFERROR(SUM(_xlpm.a),0))</f>
        <v>320</v>
      </c>
      <c r="F12" s="3" cm="1">
        <f t="array" ref="F12">_xlfn.LET(_xlpm.y,$A12,_xlpm.m,$B12, _xlpm.d,一覧!$A$2:$A$99999, _xlpm.net,一覧!$G$2:$G$99999,
 _xlpm.a,_xlfn._xlws.FILTER(_xlpm.net,(YEAR(_xlpm.d)=_xlpm.y)*(MONTH(_xlpm.d)=_xlpm.m)),
 IFERROR(SUM(_xlpm.a),0))</f>
        <v>320</v>
      </c>
      <c r="G12" s="3" cm="1">
        <f t="array" ref="G12">_xlfn.LET(_xlpm.y,$A12,_xlpm.m,$B12,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>320</v>
      </c>
      <c r="H12" s="3" cm="1">
        <f t="array" ref="H12">_xlfn.LET(_xlpm.y,$A12,_xlpm.m,$B12,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320</v>
      </c>
      <c r="I12" s="3" cm="1">
        <f t="array" ref="I12">_xlfn.LET(_xlpm.y,$A12,_xlpm.m,$B12,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>320</v>
      </c>
      <c r="J12" s="3" cm="1">
        <f t="array" ref="J12">_xlfn.LET(_xlpm.y,$A12,_xlpm.m,$B12,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320</v>
      </c>
    </row>
    <row r="13" spans="1:10" x14ac:dyDescent="0.55000000000000004">
      <c r="A13" s="9">
        <v>2025</v>
      </c>
      <c r="B13" s="11">
        <v>12</v>
      </c>
      <c r="C13" s="13" cm="1">
        <f t="array" ref="C13">_xlfn.LET(_xlpm.y,$A13,_xlpm.m,$B13,
 _xlpm.d,一覧!$A$2:$A$99999,
 _xlpm.net,一覧!$C$2:$C$99999,
 IFERROR(ROWS(_xlfn._xlws.FILTER(_xlpm.d,(YEAR(_xlpm.d)=_xlpm.y)*(MONTH(_xlpm.d)=_xlpm.m)*(_xlpm.net&lt;&gt;""))),0))</f>
        <v>12</v>
      </c>
      <c r="D13" s="3" cm="1">
        <f t="array" ref="D13">_xlfn.LET(_xlpm.y,$A13,_xlpm.m,$B13, _xlpm.d,一覧!$A$2:$A$99999, _xlpm.cnt,一覧!$B$2:$B$99999,
 _xlpm.a,_xlfn._xlws.FILTER(_xlpm.cnt,(YEAR(_xlpm.d)=_xlpm.y)*(MONTH(_xlpm.d)=_xlpm.m)),
 IFERROR(SUM(_xlpm.a),0))</f>
        <v>292</v>
      </c>
      <c r="E13" s="3" cm="1">
        <f t="array" ref="E13">_xlfn.LET(_xlpm.y,$A13,_xlpm.m,$B13, _xlpm.d,一覧!$A$2:$A$99999, _xlpm.net,一覧!$C$2:$C$99999,
 _xlpm.a,_xlfn._xlws.FILTER(_xlpm.net,(YEAR(_xlpm.d)=_xlpm.y)*(MONTH(_xlpm.d)=_xlpm.m)),
 IFERROR(SUM(_xlpm.a),0))</f>
        <v>144485</v>
      </c>
      <c r="F13" s="3" cm="1">
        <f t="array" ref="F13">_xlfn.LET(_xlpm.y,$A13,_xlpm.m,$B13, _xlpm.d,一覧!$A$2:$A$99999, _xlpm.net,一覧!$G$2:$G$99999,
 _xlpm.a,_xlfn._xlws.FILTER(_xlpm.net,(YEAR(_xlpm.d)=_xlpm.y)*(MONTH(_xlpm.d)=_xlpm.m)),
 IFERROR(SUM(_xlpm.a),0))</f>
        <v>171676</v>
      </c>
      <c r="G13" s="3" cm="1">
        <f t="array" ref="G13">_xlfn.LET(_xlpm.y,$A13,_xlpm.m,$B13,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>494.81164383561645</v>
      </c>
      <c r="H13" s="3" cm="1">
        <f t="array" ref="H13">_xlfn.LET(_xlpm.y,$A13,_xlpm.m,$B13,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474.29605263157896</v>
      </c>
      <c r="I13" s="3" cm="1">
        <f t="array" ref="I13">_xlfn.LET(_xlpm.y,$A13,_xlpm.m,$B13,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>587.93150684931504</v>
      </c>
      <c r="J13" s="3" cm="1">
        <f t="array" ref="J13">_xlfn.LET(_xlpm.y,$A13,_xlpm.m,$B13,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562.62083333333339</v>
      </c>
    </row>
    <row r="14" spans="1:10" x14ac:dyDescent="0.55000000000000004">
      <c r="A14" s="9">
        <v>2026</v>
      </c>
      <c r="B14" s="11">
        <v>1</v>
      </c>
      <c r="C14" s="13" cm="1">
        <f t="array" ref="C14">_xlfn.LET(_xlpm.y,$A14,_xlpm.m,$B14,
 _xlpm.d,一覧!$A$2:$A$99999,
 _xlpm.net,一覧!$C$2:$C$99999,
 IFERROR(ROWS(_xlfn._xlws.FILTER(_xlpm.d,(YEAR(_xlpm.d)=_xlpm.y)*(MONTH(_xlpm.d)=_xlpm.m)*(_xlpm.net&lt;&gt;""))),0))</f>
        <v>10</v>
      </c>
      <c r="D14" s="3" cm="1">
        <f t="array" ref="D14">_xlfn.LET(_xlpm.y,$A14,_xlpm.m,$B14, _xlpm.d,一覧!$A$2:$A$99999, _xlpm.cnt,一覧!$B$2:$B$99999,
 _xlpm.a,_xlfn._xlws.FILTER(_xlpm.cnt,(YEAR(_xlpm.d)=_xlpm.y)*(MONTH(_xlpm.d)=_xlpm.m)),
 IFERROR(SUM(_xlpm.a),0))</f>
        <v>287</v>
      </c>
      <c r="E14" s="3" cm="1">
        <f t="array" ref="E14">_xlfn.LET(_xlpm.y,$A14,_xlpm.m,$B14, _xlpm.d,一覧!$A$2:$A$99999, _xlpm.net,一覧!$C$2:$C$99999,
 _xlpm.a,_xlfn._xlws.FILTER(_xlpm.net,(YEAR(_xlpm.d)=_xlpm.y)*(MONTH(_xlpm.d)=_xlpm.m)),
 IFERROR(SUM(_xlpm.a),0))</f>
        <v>139888</v>
      </c>
      <c r="F14" s="3" cm="1">
        <f t="array" ref="F14">_xlfn.LET(_xlpm.y,$A14,_xlpm.m,$B14, _xlpm.d,一覧!$A$2:$A$99999, _xlpm.net,一覧!$G$2:$G$99999,
 _xlpm.a,_xlfn._xlws.FILTER(_xlpm.net,(YEAR(_xlpm.d)=_xlpm.y)*(MONTH(_xlpm.d)=_xlpm.m)),
 IFERROR(SUM(_xlpm.a),0))</f>
        <v>179180</v>
      </c>
      <c r="G14" s="3" cm="1">
        <f t="array" ref="G14">_xlfn.LET(_xlpm.y,$A14,_xlpm.m,$B14,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>487.41463414634148</v>
      </c>
      <c r="H14" s="3" cm="1">
        <f t="array" ref="H14">_xlfn.LET(_xlpm.y,$A14,_xlpm.m,$B14,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478.640625</v>
      </c>
      <c r="I14" s="3" cm="1">
        <f t="array" ref="I14">_xlfn.LET(_xlpm.y,$A14,_xlpm.m,$B14,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>624.32055749128915</v>
      </c>
      <c r="J14" s="3" cm="1">
        <f t="array" ref="J14">_xlfn.LET(_xlpm.y,$A14,_xlpm.m,$B14,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>588.66458333333333</v>
      </c>
    </row>
    <row r="15" spans="1:10" x14ac:dyDescent="0.55000000000000004">
      <c r="A15" s="9">
        <v>2026</v>
      </c>
      <c r="B15" s="11">
        <v>2</v>
      </c>
      <c r="C15" s="13" cm="1">
        <f t="array" ref="C15">_xlfn.LET(_xlpm.y,$A15,_xlpm.m,$B15,
 _xlpm.d,一覧!$A$2:$A$99999,
 _xlpm.net,一覧!$C$2:$C$99999,
 IFERROR(ROWS(_xlfn._xlws.FILTER(_xlpm.d,(YEAR(_xlpm.d)=_xlpm.y)*(MONTH(_xlpm.d)=_xlpm.m)*(_xlpm.net&lt;&gt;""))),0))</f>
        <v>0</v>
      </c>
      <c r="D15" s="3" cm="1">
        <f t="array" ref="D15">_xlfn.LET(_xlpm.y,$A15,_xlpm.m,$B15, _xlpm.d,一覧!$A$2:$A$99999, _xlpm.cnt,一覧!$B$2:$B$99999,
 _xlpm.a,_xlfn._xlws.FILTER(_xlpm.cnt,(YEAR(_xlpm.d)=_xlpm.y)*(MONTH(_xlpm.d)=_xlpm.m)),
 IFERROR(SUM(_xlpm.a),0))</f>
        <v>0</v>
      </c>
      <c r="E15" s="3" cm="1">
        <f t="array" ref="E15">_xlfn.LET(_xlpm.y,$A15,_xlpm.m,$B15, _xlpm.d,一覧!$A$2:$A$99999, _xlpm.net,一覧!$C$2:$C$99999,
 _xlpm.a,_xlfn._xlws.FILTER(_xlpm.net,(YEAR(_xlpm.d)=_xlpm.y)*(MONTH(_xlpm.d)=_xlpm.m)),
 IFERROR(SUM(_xlpm.a),0))</f>
        <v>0</v>
      </c>
      <c r="F15" s="3" cm="1">
        <f t="array" ref="F15">_xlfn.LET(_xlpm.y,$A15,_xlpm.m,$B15, _xlpm.d,一覧!$A$2:$A$99999, _xlpm.net,一覧!$G$2:$G$99999,
 _xlpm.a,_xlfn._xlws.FILTER(_xlpm.net,(YEAR(_xlpm.d)=_xlpm.y)*(MONTH(_xlpm.d)=_xlpm.m)),
 IFERROR(SUM(_xlpm.a),0))</f>
        <v>0</v>
      </c>
      <c r="G15" s="3" t="str" cm="1">
        <f t="array" ref="G15">_xlfn.LET(_xlpm.y,$A15,_xlpm.m,$B15,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/>
      </c>
      <c r="H15" s="3" t="str" cm="1">
        <f t="array" ref="H15">_xlfn.LET(_xlpm.y,$A15,_xlpm.m,$B15,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  <c r="I15" s="3" t="str" cm="1">
        <f t="array" ref="I15">_xlfn.LET(_xlpm.y,$A15,_xlpm.m,$B15,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/>
      </c>
      <c r="J15" s="3" t="str" cm="1">
        <f t="array" ref="J15">_xlfn.LET(_xlpm.y,$A15,_xlpm.m,$B15,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</row>
    <row r="16" spans="1:10" x14ac:dyDescent="0.55000000000000004">
      <c r="A16" s="9">
        <v>2026</v>
      </c>
      <c r="B16" s="11">
        <v>3</v>
      </c>
      <c r="C16" s="13" cm="1">
        <f t="array" ref="C16">_xlfn.LET(_xlpm.y,$A16,_xlpm.m,$B16,
 _xlpm.d,一覧!$A$2:$A$99999,
 _xlpm.net,一覧!$C$2:$C$99999,
 IFERROR(ROWS(_xlfn._xlws.FILTER(_xlpm.d,(YEAR(_xlpm.d)=_xlpm.y)*(MONTH(_xlpm.d)=_xlpm.m)*(_xlpm.net&lt;&gt;""))),0))</f>
        <v>0</v>
      </c>
      <c r="D16" s="3" cm="1">
        <f t="array" ref="D16">_xlfn.LET(_xlpm.y,$A16,_xlpm.m,$B16, _xlpm.d,一覧!$A$2:$A$99999, _xlpm.cnt,一覧!$B$2:$B$99999,
 _xlpm.a,_xlfn._xlws.FILTER(_xlpm.cnt,(YEAR(_xlpm.d)=_xlpm.y)*(MONTH(_xlpm.d)=_xlpm.m)),
 IFERROR(SUM(_xlpm.a),0))</f>
        <v>0</v>
      </c>
      <c r="E16" s="3" cm="1">
        <f t="array" ref="E16">_xlfn.LET(_xlpm.y,$A16,_xlpm.m,$B16, _xlpm.d,一覧!$A$2:$A$99999, _xlpm.net,一覧!$C$2:$C$99999,
 _xlpm.a,_xlfn._xlws.FILTER(_xlpm.net,(YEAR(_xlpm.d)=_xlpm.y)*(MONTH(_xlpm.d)=_xlpm.m)),
 IFERROR(SUM(_xlpm.a),0))</f>
        <v>0</v>
      </c>
      <c r="F16" s="3" cm="1">
        <f t="array" ref="F16">_xlfn.LET(_xlpm.y,$A16,_xlpm.m,$B16, _xlpm.d,一覧!$A$2:$A$99999, _xlpm.net,一覧!$G$2:$G$99999,
 _xlpm.a,_xlfn._xlws.FILTER(_xlpm.net,(YEAR(_xlpm.d)=_xlpm.y)*(MONTH(_xlpm.d)=_xlpm.m)),
 IFERROR(SUM(_xlpm.a),0))</f>
        <v>0</v>
      </c>
      <c r="G16" s="3" t="str" cm="1">
        <f t="array" ref="G16">_xlfn.LET(_xlpm.y,$A16,_xlpm.m,$B16,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/>
      </c>
      <c r="H16" s="3" t="str" cm="1">
        <f t="array" ref="H16">_xlfn.LET(_xlpm.y,$A16,_xlpm.m,$B16,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  <c r="I16" s="3" t="str" cm="1">
        <f t="array" ref="I16">_xlfn.LET(_xlpm.y,$A16,_xlpm.m,$B16,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/>
      </c>
      <c r="J16" s="3" t="str" cm="1">
        <f t="array" ref="J16">_xlfn.LET(_xlpm.y,$A16,_xlpm.m,$B16,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</row>
    <row r="17" spans="1:10" x14ac:dyDescent="0.55000000000000004">
      <c r="A17" s="9">
        <v>2026</v>
      </c>
      <c r="B17" s="11">
        <v>4</v>
      </c>
      <c r="C17" s="13" cm="1">
        <f t="array" ref="C17">_xlfn.LET(_xlpm.y,$A17,_xlpm.m,$B17,
 _xlpm.d,一覧!$A$2:$A$99999,
 _xlpm.net,一覧!$C$2:$C$99999,
 IFERROR(ROWS(_xlfn._xlws.FILTER(_xlpm.d,(YEAR(_xlpm.d)=_xlpm.y)*(MONTH(_xlpm.d)=_xlpm.m)*(_xlpm.net&lt;&gt;""))),0))</f>
        <v>0</v>
      </c>
      <c r="D17" s="3" cm="1">
        <f t="array" ref="D17">_xlfn.LET(_xlpm.y,$A17,_xlpm.m,$B17, _xlpm.d,一覧!$A$2:$A$99999, _xlpm.cnt,一覧!$B$2:$B$99999,
 _xlpm.a,_xlfn._xlws.FILTER(_xlpm.cnt,(YEAR(_xlpm.d)=_xlpm.y)*(MONTH(_xlpm.d)=_xlpm.m)),
 IFERROR(SUM(_xlpm.a),0))</f>
        <v>0</v>
      </c>
      <c r="E17" s="3" cm="1">
        <f t="array" ref="E17">_xlfn.LET(_xlpm.y,$A17,_xlpm.m,$B17, _xlpm.d,一覧!$A$2:$A$99999, _xlpm.net,一覧!$C$2:$C$99999,
 _xlpm.a,_xlfn._xlws.FILTER(_xlpm.net,(YEAR(_xlpm.d)=_xlpm.y)*(MONTH(_xlpm.d)=_xlpm.m)),
 IFERROR(SUM(_xlpm.a),0))</f>
        <v>0</v>
      </c>
      <c r="F17" s="3" cm="1">
        <f t="array" ref="F17">_xlfn.LET(_xlpm.y,$A17,_xlpm.m,$B17, _xlpm.d,一覧!$A$2:$A$99999, _xlpm.net,一覧!$G$2:$G$99999,
 _xlpm.a,_xlfn._xlws.FILTER(_xlpm.net,(YEAR(_xlpm.d)=_xlpm.y)*(MONTH(_xlpm.d)=_xlpm.m)),
 IFERROR(SUM(_xlpm.a),0))</f>
        <v>0</v>
      </c>
      <c r="G17" s="3" t="str" cm="1">
        <f t="array" ref="G17">_xlfn.LET(_xlpm.y,$A17,_xlpm.m,$B17,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/>
      </c>
      <c r="H17" s="3" t="str" cm="1">
        <f t="array" ref="H17">_xlfn.LET(_xlpm.y,$A17,_xlpm.m,$B17,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  <c r="I17" s="3" t="str" cm="1">
        <f t="array" ref="I17">_xlfn.LET(_xlpm.y,$A17,_xlpm.m,$B17,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/>
      </c>
      <c r="J17" s="3" t="str" cm="1">
        <f t="array" ref="J17">_xlfn.LET(_xlpm.y,$A17,_xlpm.m,$B17,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</row>
    <row r="18" spans="1:10" x14ac:dyDescent="0.55000000000000004">
      <c r="A18" s="9">
        <v>2026</v>
      </c>
      <c r="B18" s="11">
        <v>5</v>
      </c>
      <c r="C18" s="13" cm="1">
        <f t="array" ref="C18">_xlfn.LET(_xlpm.y,$A18,_xlpm.m,$B18,
 _xlpm.d,一覧!$A$2:$A$99999,
 _xlpm.net,一覧!$C$2:$C$99999,
 IFERROR(ROWS(_xlfn._xlws.FILTER(_xlpm.d,(YEAR(_xlpm.d)=_xlpm.y)*(MONTH(_xlpm.d)=_xlpm.m)*(_xlpm.net&lt;&gt;""))),0))</f>
        <v>0</v>
      </c>
      <c r="D18" s="3" cm="1">
        <f t="array" ref="D18">_xlfn.LET(_xlpm.y,$A18,_xlpm.m,$B18, _xlpm.d,一覧!$A$2:$A$99999, _xlpm.cnt,一覧!$B$2:$B$99999,
 _xlpm.a,_xlfn._xlws.FILTER(_xlpm.cnt,(YEAR(_xlpm.d)=_xlpm.y)*(MONTH(_xlpm.d)=_xlpm.m)),
 IFERROR(SUM(_xlpm.a),0))</f>
        <v>0</v>
      </c>
      <c r="E18" s="3" cm="1">
        <f t="array" ref="E18">_xlfn.LET(_xlpm.y,$A18,_xlpm.m,$B18, _xlpm.d,一覧!$A$2:$A$99999, _xlpm.net,一覧!$C$2:$C$99999,
 _xlpm.a,_xlfn._xlws.FILTER(_xlpm.net,(YEAR(_xlpm.d)=_xlpm.y)*(MONTH(_xlpm.d)=_xlpm.m)),
 IFERROR(SUM(_xlpm.a),0))</f>
        <v>0</v>
      </c>
      <c r="F18" s="3" cm="1">
        <f t="array" ref="F18">_xlfn.LET(_xlpm.y,$A18,_xlpm.m,$B18, _xlpm.d,一覧!$A$2:$A$99999, _xlpm.net,一覧!$G$2:$G$99999,
 _xlpm.a,_xlfn._xlws.FILTER(_xlpm.net,(YEAR(_xlpm.d)=_xlpm.y)*(MONTH(_xlpm.d)=_xlpm.m)),
 IFERROR(SUM(_xlpm.a),0))</f>
        <v>0</v>
      </c>
      <c r="G18" s="3" t="str" cm="1">
        <f t="array" ref="G18">_xlfn.LET(_xlpm.y,$A18,_xlpm.m,$B18,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/>
      </c>
      <c r="H18" s="3" t="str" cm="1">
        <f t="array" ref="H18">_xlfn.LET(_xlpm.y,$A18,_xlpm.m,$B18,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  <c r="I18" s="3" t="str" cm="1">
        <f t="array" ref="I18">_xlfn.LET(_xlpm.y,$A18,_xlpm.m,$B18,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/>
      </c>
      <c r="J18" s="3" t="str" cm="1">
        <f t="array" ref="J18">_xlfn.LET(_xlpm.y,$A18,_xlpm.m,$B18,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</row>
    <row r="19" spans="1:10" x14ac:dyDescent="0.55000000000000004">
      <c r="A19" s="9">
        <v>2026</v>
      </c>
      <c r="B19" s="11">
        <v>6</v>
      </c>
      <c r="C19" s="13" cm="1">
        <f t="array" ref="C19">_xlfn.LET(_xlpm.y,$A19,_xlpm.m,$B19,
 _xlpm.d,一覧!$A$2:$A$99999,
 _xlpm.net,一覧!$C$2:$C$99999,
 IFERROR(ROWS(_xlfn._xlws.FILTER(_xlpm.d,(YEAR(_xlpm.d)=_xlpm.y)*(MONTH(_xlpm.d)=_xlpm.m)*(_xlpm.net&lt;&gt;""))),0))</f>
        <v>0</v>
      </c>
      <c r="D19" s="3" cm="1">
        <f t="array" ref="D19">_xlfn.LET(_xlpm.y,$A19,_xlpm.m,$B19, _xlpm.d,一覧!$A$2:$A$99999, _xlpm.cnt,一覧!$B$2:$B$99999,
 _xlpm.a,_xlfn._xlws.FILTER(_xlpm.cnt,(YEAR(_xlpm.d)=_xlpm.y)*(MONTH(_xlpm.d)=_xlpm.m)),
 IFERROR(SUM(_xlpm.a),0))</f>
        <v>0</v>
      </c>
      <c r="E19" s="3" cm="1">
        <f t="array" ref="E19">_xlfn.LET(_xlpm.y,$A19,_xlpm.m,$B19, _xlpm.d,一覧!$A$2:$A$99999, _xlpm.net,一覧!$C$2:$C$99999,
 _xlpm.a,_xlfn._xlws.FILTER(_xlpm.net,(YEAR(_xlpm.d)=_xlpm.y)*(MONTH(_xlpm.d)=_xlpm.m)),
 IFERROR(SUM(_xlpm.a),0))</f>
        <v>0</v>
      </c>
      <c r="F19" s="3" cm="1">
        <f t="array" ref="F19">_xlfn.LET(_xlpm.y,$A19,_xlpm.m,$B19, _xlpm.d,一覧!$A$2:$A$99999, _xlpm.net,一覧!$G$2:$G$99999,
 _xlpm.a,_xlfn._xlws.FILTER(_xlpm.net,(YEAR(_xlpm.d)=_xlpm.y)*(MONTH(_xlpm.d)=_xlpm.m)),
 IFERROR(SUM(_xlpm.a),0))</f>
        <v>0</v>
      </c>
      <c r="G19" s="3" t="str" cm="1">
        <f t="array" ref="G19">_xlfn.LET(_xlpm.y,$A19,_xlpm.m,$B19,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/>
      </c>
      <c r="H19" s="3" t="str" cm="1">
        <f t="array" ref="H19">_xlfn.LET(_xlpm.y,$A19,_xlpm.m,$B19,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  <c r="I19" s="3" t="str" cm="1">
        <f t="array" ref="I19">_xlfn.LET(_xlpm.y,$A19,_xlpm.m,$B19,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/>
      </c>
      <c r="J19" s="3" t="str" cm="1">
        <f t="array" ref="J19">_xlfn.LET(_xlpm.y,$A19,_xlpm.m,$B19,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</row>
    <row r="20" spans="1:10" x14ac:dyDescent="0.55000000000000004">
      <c r="A20" s="9">
        <v>2026</v>
      </c>
      <c r="B20" s="11">
        <v>7</v>
      </c>
      <c r="C20" s="13" cm="1">
        <f t="array" ref="C20">_xlfn.LET(_xlpm.y,$A20,_xlpm.m,$B20,
 _xlpm.d,一覧!$A$2:$A$99999,
 _xlpm.net,一覧!$C$2:$C$99999,
 IFERROR(ROWS(_xlfn._xlws.FILTER(_xlpm.d,(YEAR(_xlpm.d)=_xlpm.y)*(MONTH(_xlpm.d)=_xlpm.m)*(_xlpm.net&lt;&gt;""))),0))</f>
        <v>0</v>
      </c>
      <c r="D20" s="3" cm="1">
        <f t="array" ref="D20">_xlfn.LET(_xlpm.y,$A20,_xlpm.m,$B20, _xlpm.d,一覧!$A$2:$A$99999, _xlpm.cnt,一覧!$B$2:$B$99999,
 _xlpm.a,_xlfn._xlws.FILTER(_xlpm.cnt,(YEAR(_xlpm.d)=_xlpm.y)*(MONTH(_xlpm.d)=_xlpm.m)),
 IFERROR(SUM(_xlpm.a),0))</f>
        <v>0</v>
      </c>
      <c r="E20" s="3" cm="1">
        <f t="array" ref="E20">_xlfn.LET(_xlpm.y,$A20,_xlpm.m,$B20, _xlpm.d,一覧!$A$2:$A$99999, _xlpm.net,一覧!$C$2:$C$99999,
 _xlpm.a,_xlfn._xlws.FILTER(_xlpm.net,(YEAR(_xlpm.d)=_xlpm.y)*(MONTH(_xlpm.d)=_xlpm.m)),
 IFERROR(SUM(_xlpm.a),0))</f>
        <v>0</v>
      </c>
      <c r="F20" s="3" cm="1">
        <f t="array" ref="F20">_xlfn.LET(_xlpm.y,$A20,_xlpm.m,$B20, _xlpm.d,一覧!$A$2:$A$99999, _xlpm.net,一覧!$G$2:$G$99999,
 _xlpm.a,_xlfn._xlws.FILTER(_xlpm.net,(YEAR(_xlpm.d)=_xlpm.y)*(MONTH(_xlpm.d)=_xlpm.m)),
 IFERROR(SUM(_xlpm.a),0))</f>
        <v>0</v>
      </c>
      <c r="G20" s="3" t="str" cm="1">
        <f t="array" ref="G20">_xlfn.LET(_xlpm.y,$A20,_xlpm.m,$B20,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/>
      </c>
      <c r="H20" s="3" t="str" cm="1">
        <f t="array" ref="H20">_xlfn.LET(_xlpm.y,$A20,_xlpm.m,$B20,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  <c r="I20" s="3" t="str" cm="1">
        <f t="array" ref="I20">_xlfn.LET(_xlpm.y,$A20,_xlpm.m,$B20,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/>
      </c>
      <c r="J20" s="3" t="str" cm="1">
        <f t="array" ref="J20">_xlfn.LET(_xlpm.y,$A20,_xlpm.m,$B20,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</row>
    <row r="21" spans="1:10" x14ac:dyDescent="0.55000000000000004">
      <c r="A21" s="9">
        <v>2026</v>
      </c>
      <c r="B21" s="11">
        <v>8</v>
      </c>
      <c r="C21" s="13" cm="1">
        <f t="array" ref="C21">_xlfn.LET(_xlpm.y,$A21,_xlpm.m,$B21,
 _xlpm.d,一覧!$A$2:$A$99999,
 _xlpm.net,一覧!$C$2:$C$99999,
 IFERROR(ROWS(_xlfn._xlws.FILTER(_xlpm.d,(YEAR(_xlpm.d)=_xlpm.y)*(MONTH(_xlpm.d)=_xlpm.m)*(_xlpm.net&lt;&gt;""))),0))</f>
        <v>0</v>
      </c>
      <c r="D21" s="3" cm="1">
        <f t="array" ref="D21">_xlfn.LET(_xlpm.y,$A21,_xlpm.m,$B21, _xlpm.d,一覧!$A$2:$A$99999, _xlpm.cnt,一覧!$B$2:$B$99999,
 _xlpm.a,_xlfn._xlws.FILTER(_xlpm.cnt,(YEAR(_xlpm.d)=_xlpm.y)*(MONTH(_xlpm.d)=_xlpm.m)),
 IFERROR(SUM(_xlpm.a),0))</f>
        <v>0</v>
      </c>
      <c r="E21" s="3" cm="1">
        <f t="array" ref="E21">_xlfn.LET(_xlpm.y,$A21,_xlpm.m,$B21, _xlpm.d,一覧!$A$2:$A$99999, _xlpm.net,一覧!$C$2:$C$99999,
 _xlpm.a,_xlfn._xlws.FILTER(_xlpm.net,(YEAR(_xlpm.d)=_xlpm.y)*(MONTH(_xlpm.d)=_xlpm.m)),
 IFERROR(SUM(_xlpm.a),0))</f>
        <v>0</v>
      </c>
      <c r="F21" s="3" cm="1">
        <f t="array" ref="F21">_xlfn.LET(_xlpm.y,$A21,_xlpm.m,$B21, _xlpm.d,一覧!$A$2:$A$99999, _xlpm.net,一覧!$G$2:$G$99999,
 _xlpm.a,_xlfn._xlws.FILTER(_xlpm.net,(YEAR(_xlpm.d)=_xlpm.y)*(MONTH(_xlpm.d)=_xlpm.m)),
 IFERROR(SUM(_xlpm.a),0))</f>
        <v>0</v>
      </c>
      <c r="G21" s="3" t="str" cm="1">
        <f t="array" ref="G21">_xlfn.LET(_xlpm.y,$A21,_xlpm.m,$B21,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/>
      </c>
      <c r="H21" s="3" t="str" cm="1">
        <f t="array" ref="H21">_xlfn.LET(_xlpm.y,$A21,_xlpm.m,$B21,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  <c r="I21" s="3" t="str" cm="1">
        <f t="array" ref="I21">_xlfn.LET(_xlpm.y,$A21,_xlpm.m,$B21,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/>
      </c>
      <c r="J21" s="3" t="str" cm="1">
        <f t="array" ref="J21">_xlfn.LET(_xlpm.y,$A21,_xlpm.m,$B21,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</row>
    <row r="22" spans="1:10" x14ac:dyDescent="0.55000000000000004">
      <c r="A22" s="9">
        <v>2026</v>
      </c>
      <c r="B22" s="11">
        <v>9</v>
      </c>
      <c r="C22" s="13" cm="1">
        <f t="array" ref="C22">_xlfn.LET(_xlpm.y,$A22,_xlpm.m,$B22,
 _xlpm.d,一覧!$A$2:$A$99999,
 _xlpm.net,一覧!$C$2:$C$99999,
 IFERROR(ROWS(_xlfn._xlws.FILTER(_xlpm.d,(YEAR(_xlpm.d)=_xlpm.y)*(MONTH(_xlpm.d)=_xlpm.m)*(_xlpm.net&lt;&gt;""))),0))</f>
        <v>0</v>
      </c>
      <c r="D22" s="3" cm="1">
        <f t="array" ref="D22">_xlfn.LET(_xlpm.y,$A22,_xlpm.m,$B22, _xlpm.d,一覧!$A$2:$A$99999, _xlpm.cnt,一覧!$B$2:$B$99999,
 _xlpm.a,_xlfn._xlws.FILTER(_xlpm.cnt,(YEAR(_xlpm.d)=_xlpm.y)*(MONTH(_xlpm.d)=_xlpm.m)),
 IFERROR(SUM(_xlpm.a),0))</f>
        <v>0</v>
      </c>
      <c r="E22" s="3" cm="1">
        <f t="array" ref="E22">_xlfn.LET(_xlpm.y,$A22,_xlpm.m,$B22, _xlpm.d,一覧!$A$2:$A$99999, _xlpm.net,一覧!$C$2:$C$99999,
 _xlpm.a,_xlfn._xlws.FILTER(_xlpm.net,(YEAR(_xlpm.d)=_xlpm.y)*(MONTH(_xlpm.d)=_xlpm.m)),
 IFERROR(SUM(_xlpm.a),0))</f>
        <v>0</v>
      </c>
      <c r="F22" s="3" cm="1">
        <f t="array" ref="F22">_xlfn.LET(_xlpm.y,$A22,_xlpm.m,$B22, _xlpm.d,一覧!$A$2:$A$99999, _xlpm.net,一覧!$G$2:$G$99999,
 _xlpm.a,_xlfn._xlws.FILTER(_xlpm.net,(YEAR(_xlpm.d)=_xlpm.y)*(MONTH(_xlpm.d)=_xlpm.m)),
 IFERROR(SUM(_xlpm.a),0))</f>
        <v>0</v>
      </c>
      <c r="G22" s="3" t="str" cm="1">
        <f t="array" ref="G22">_xlfn.LET(_xlpm.y,$A22,_xlpm.m,$B22,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/>
      </c>
      <c r="H22" s="3" t="str" cm="1">
        <f t="array" ref="H22">_xlfn.LET(_xlpm.y,$A22,_xlpm.m,$B22,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  <c r="I22" s="3" t="str" cm="1">
        <f t="array" ref="I22">_xlfn.LET(_xlpm.y,$A22,_xlpm.m,$B22,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/>
      </c>
      <c r="J22" s="3" t="str" cm="1">
        <f t="array" ref="J22">_xlfn.LET(_xlpm.y,$A22,_xlpm.m,$B22,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</row>
    <row r="23" spans="1:10" x14ac:dyDescent="0.55000000000000004">
      <c r="A23" s="9">
        <v>2026</v>
      </c>
      <c r="B23" s="11">
        <v>10</v>
      </c>
      <c r="C23" s="13" cm="1">
        <f t="array" ref="C23">_xlfn.LET(_xlpm.y,$A23,_xlpm.m,$B23,
 _xlpm.d,一覧!$A$2:$A$99999,
 _xlpm.net,一覧!$C$2:$C$99999,
 IFERROR(ROWS(_xlfn._xlws.FILTER(_xlpm.d,(YEAR(_xlpm.d)=_xlpm.y)*(MONTH(_xlpm.d)=_xlpm.m)*(_xlpm.net&lt;&gt;""))),0))</f>
        <v>0</v>
      </c>
      <c r="D23" s="3" cm="1">
        <f t="array" ref="D23">_xlfn.LET(_xlpm.y,$A23,_xlpm.m,$B23, _xlpm.d,一覧!$A$2:$A$99999, _xlpm.cnt,一覧!$B$2:$B$99999,
 _xlpm.a,_xlfn._xlws.FILTER(_xlpm.cnt,(YEAR(_xlpm.d)=_xlpm.y)*(MONTH(_xlpm.d)=_xlpm.m)),
 IFERROR(SUM(_xlpm.a),0))</f>
        <v>0</v>
      </c>
      <c r="E23" s="3" cm="1">
        <f t="array" ref="E23">_xlfn.LET(_xlpm.y,$A23,_xlpm.m,$B23, _xlpm.d,一覧!$A$2:$A$99999, _xlpm.net,一覧!$C$2:$C$99999,
 _xlpm.a,_xlfn._xlws.FILTER(_xlpm.net,(YEAR(_xlpm.d)=_xlpm.y)*(MONTH(_xlpm.d)=_xlpm.m)),
 IFERROR(SUM(_xlpm.a),0))</f>
        <v>0</v>
      </c>
      <c r="F23" s="3" cm="1">
        <f t="array" ref="F23">_xlfn.LET(_xlpm.y,$A23,_xlpm.m,$B23, _xlpm.d,一覧!$A$2:$A$99999, _xlpm.net,一覧!$G$2:$G$99999,
 _xlpm.a,_xlfn._xlws.FILTER(_xlpm.net,(YEAR(_xlpm.d)=_xlpm.y)*(MONTH(_xlpm.d)=_xlpm.m)),
 IFERROR(SUM(_xlpm.a),0))</f>
        <v>0</v>
      </c>
      <c r="G23" s="3" t="str" cm="1">
        <f t="array" ref="G23">_xlfn.LET(_xlpm.y,$A23,_xlpm.m,$B23,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/>
      </c>
      <c r="H23" s="3" t="str" cm="1">
        <f t="array" ref="H23">_xlfn.LET(_xlpm.y,$A23,_xlpm.m,$B23,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  <c r="I23" s="3" t="str" cm="1">
        <f t="array" ref="I23">_xlfn.LET(_xlpm.y,$A23,_xlpm.m,$B23,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/>
      </c>
      <c r="J23" s="3" t="str" cm="1">
        <f t="array" ref="J23">_xlfn.LET(_xlpm.y,$A23,_xlpm.m,$B23,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</row>
    <row r="24" spans="1:10" x14ac:dyDescent="0.55000000000000004">
      <c r="A24" s="9">
        <v>2026</v>
      </c>
      <c r="B24" s="11">
        <v>11</v>
      </c>
      <c r="C24" s="13" cm="1">
        <f t="array" ref="C24">_xlfn.LET(_xlpm.y,$A24,_xlpm.m,$B24,
 _xlpm.d,一覧!$A$2:$A$99999,
 _xlpm.net,一覧!$C$2:$C$99999,
 IFERROR(ROWS(_xlfn._xlws.FILTER(_xlpm.d,(YEAR(_xlpm.d)=_xlpm.y)*(MONTH(_xlpm.d)=_xlpm.m)*(_xlpm.net&lt;&gt;""))),0))</f>
        <v>0</v>
      </c>
      <c r="D24" s="3" cm="1">
        <f t="array" ref="D24">_xlfn.LET(_xlpm.y,$A24,_xlpm.m,$B24, _xlpm.d,一覧!$A$2:$A$99999, _xlpm.cnt,一覧!$B$2:$B$99999,
 _xlpm.a,_xlfn._xlws.FILTER(_xlpm.cnt,(YEAR(_xlpm.d)=_xlpm.y)*(MONTH(_xlpm.d)=_xlpm.m)),
 IFERROR(SUM(_xlpm.a),0))</f>
        <v>0</v>
      </c>
      <c r="E24" s="3" cm="1">
        <f t="array" ref="E24">_xlfn.LET(_xlpm.y,$A24,_xlpm.m,$B24, _xlpm.d,一覧!$A$2:$A$99999, _xlpm.net,一覧!$C$2:$C$99999,
 _xlpm.a,_xlfn._xlws.FILTER(_xlpm.net,(YEAR(_xlpm.d)=_xlpm.y)*(MONTH(_xlpm.d)=_xlpm.m)),
 IFERROR(SUM(_xlpm.a),0))</f>
        <v>0</v>
      </c>
      <c r="F24" s="3" cm="1">
        <f t="array" ref="F24">_xlfn.LET(_xlpm.y,$A24,_xlpm.m,$B24, _xlpm.d,一覧!$A$2:$A$99999, _xlpm.net,一覧!$G$2:$G$99999,
 _xlpm.a,_xlfn._xlws.FILTER(_xlpm.net,(YEAR(_xlpm.d)=_xlpm.y)*(MONTH(_xlpm.d)=_xlpm.m)),
 IFERROR(SUM(_xlpm.a),0))</f>
        <v>0</v>
      </c>
      <c r="G24" s="3" t="str" cm="1">
        <f t="array" ref="G24">_xlfn.LET(_xlpm.y,$A24,_xlpm.m,$B24,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/>
      </c>
      <c r="H24" s="3" t="str" cm="1">
        <f t="array" ref="H24">_xlfn.LET(_xlpm.y,$A24,_xlpm.m,$B24,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  <c r="I24" s="3" t="str" cm="1">
        <f t="array" ref="I24">_xlfn.LET(_xlpm.y,$A24,_xlpm.m,$B24,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/>
      </c>
      <c r="J24" s="3" t="str" cm="1">
        <f t="array" ref="J24">_xlfn.LET(_xlpm.y,$A24,_xlpm.m,$B24,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</row>
    <row r="25" spans="1:10" x14ac:dyDescent="0.55000000000000004">
      <c r="A25" s="9">
        <v>2026</v>
      </c>
      <c r="B25" s="11">
        <v>12</v>
      </c>
      <c r="C25" s="13" cm="1">
        <f t="array" ref="C25">_xlfn.LET(_xlpm.y,$A25,_xlpm.m,$B25,
 _xlpm.d,一覧!$A$2:$A$99999,
 _xlpm.net,一覧!$C$2:$C$99999,
 IFERROR(ROWS(_xlfn._xlws.FILTER(_xlpm.d,(YEAR(_xlpm.d)=_xlpm.y)*(MONTH(_xlpm.d)=_xlpm.m)*(_xlpm.net&lt;&gt;""))),0))</f>
        <v>0</v>
      </c>
      <c r="D25" s="3" cm="1">
        <f t="array" ref="D25">_xlfn.LET(_xlpm.y,$A25,_xlpm.m,$B25, _xlpm.d,一覧!$A$2:$A$99999, _xlpm.cnt,一覧!$B$2:$B$99999,
 _xlpm.a,_xlfn._xlws.FILTER(_xlpm.cnt,(YEAR(_xlpm.d)=_xlpm.y)*(MONTH(_xlpm.d)=_xlpm.m)),
 IFERROR(SUM(_xlpm.a),0))</f>
        <v>0</v>
      </c>
      <c r="E25" s="3" cm="1">
        <f t="array" ref="E25">_xlfn.LET(_xlpm.y,$A25,_xlpm.m,$B25, _xlpm.d,一覧!$A$2:$A$99999, _xlpm.net,一覧!$C$2:$C$99999,
 _xlpm.a,_xlfn._xlws.FILTER(_xlpm.net,(YEAR(_xlpm.d)=_xlpm.y)*(MONTH(_xlpm.d)=_xlpm.m)),
 IFERROR(SUM(_xlpm.a),0))</f>
        <v>0</v>
      </c>
      <c r="F25" s="3" cm="1">
        <f t="array" ref="F25">_xlfn.LET(_xlpm.y,$A25,_xlpm.m,$B25, _xlpm.d,一覧!$A$2:$A$99999, _xlpm.net,一覧!$G$2:$G$99999,
 _xlpm.a,_xlfn._xlws.FILTER(_xlpm.net,(YEAR(_xlpm.d)=_xlpm.y)*(MONTH(_xlpm.d)=_xlpm.m)),
 IFERROR(SUM(_xlpm.a),0))</f>
        <v>0</v>
      </c>
      <c r="G25" s="3" t="str" cm="1">
        <f t="array" ref="G25">_xlfn.LET(_xlpm.y,$A25,_xlpm.m,$B25,
 _xlpm.d,一覧!$A$2:$A$99999,
 _xlpm.cnt,一覧!$B$2:$B$99999,
 _xlpm.net,一覧!$C$2:$C$99999,
 _xlpm.c,_xlfn._xlws.FILTER(_xlpm.cnt,(YEAR(_xlpm.d)=_xlpm.y)*(MONTH(_xlpm.d)=_xlpm.m)),
 _xlpm.n,_xlfn._xlws.FILTER(_xlpm.net,(YEAR(_xlpm.d)=_xlpm.y)*(MONTH(_xlpm.d)=_xlpm.m)),
 IFERROR(SUM(_xlpm.n)/SUM(_xlpm.c),""))</f>
        <v/>
      </c>
      <c r="H25" s="3" t="str" cm="1">
        <f t="array" ref="H25">_xlfn.LET(_xlpm.y,$A25,_xlpm.m,$B25,
 _xlpm.d,一覧!$A$2:$A$99999,
 _xlpm.cnt,一覧!$B$2:$B$99999,
 _xlpm.net,一覧!$C$2:$C$99999,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  <c r="I25" s="3" t="str" cm="1">
        <f t="array" ref="I25">_xlfn.LET(_xlpm.y,$A25,_xlpm.m,$B25,
 _xlpm.d,一覧!$A$2:$A$99999,
 _xlpm.cnt,一覧!$B$2:$B$99999,
 _xlpm.net,一覧!$G$2:$G$99999,
 _xlpm.c,_xlfn._xlws.FILTER(_xlpm.cnt,(YEAR(_xlpm.d)=_xlpm.y)*(MONTH(_xlpm.d)=_xlpm.m)),
 _xlpm.n,_xlfn._xlws.FILTER(_xlpm.net,(YEAR(_xlpm.d)=_xlpm.y)*(MONTH(_xlpm.d)=_xlpm.m)),
 IFERROR(SUM(_xlpm.n)/SUM(_xlpm.c),""))</f>
        <v/>
      </c>
      <c r="J25" s="3" t="str" cm="1">
        <f t="array" ref="J25">_xlfn.LET(_xlpm.y,$A25,_xlpm.m,$B25,
 _xlpm.d,一覧!$A$2:$A$99999,
 _xlpm.cnt,一覧!$B$2:$B$99999,
 _xlpm.net,一覧!$G$2:$G$99999,
 _xlpm.dc,_xlfn._xlws.FILTER(_xlpm.cnt,(YEAR(_xlpm.d)=_xlpm.y)*(MONTH(_xlpm.d)=_xlpm.m)*(_xlpm.cnt&gt;0)),
 _xlpm.dn,_xlfn._xlws.FILTER(_xlpm.net,(YEAR(_xlpm.d)=_xlpm.y)*(MONTH(_xlpm.d)=_xlpm.m)*(_xlpm.cnt&gt;0)),
 _xlpm.unit, _xlpm.dn/_xlpm.dc,
 IFERROR(MEDIAN(_xlpm.unit),""))</f>
        <v/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一覧</vt:lpstr>
      <vt:lpstr>月ごと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伊織 小松</dc:creator>
  <cp:lastModifiedBy>小松　伊織</cp:lastModifiedBy>
  <dcterms:created xsi:type="dcterms:W3CDTF">2026-01-04T12:49:03Z</dcterms:created>
  <dcterms:modified xsi:type="dcterms:W3CDTF">2026-01-23T14:58:57Z</dcterms:modified>
</cp:coreProperties>
</file>