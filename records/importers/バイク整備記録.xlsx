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ika-my.sharepoint.com/personal/k_iori_of_iori0624_jp/Documents/"/>
    </mc:Choice>
  </mc:AlternateContent>
  <xr:revisionPtr revIDLastSave="9" documentId="8_{AA603AFF-CA93-4C46-ADFC-06889469329D}" xr6:coauthVersionLast="47" xr6:coauthVersionMax="47" xr10:uidLastSave="{E4ED9389-D354-4F83-BDCB-A73405227D8D}"/>
  <bookViews>
    <workbookView xWindow="-110" yWindow="-110" windowWidth="38620" windowHeight="21100" activeTab="1" xr2:uid="{42C1A548-8ED0-4725-8B94-D0B781BA7BD4}"/>
  </bookViews>
  <sheets>
    <sheet name="整備一覧" sheetId="1" r:id="rId1"/>
    <sheet name="直近交換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C5" i="2" a="1"/>
  <c r="C5" i="2" s="1"/>
  <c r="E5" i="2" s="1"/>
  <c r="G5" i="2" s="1"/>
  <c r="B5" i="2" a="1"/>
  <c r="B5" i="2" s="1"/>
  <c r="B2" i="2" a="1"/>
  <c r="B2" i="2" s="1"/>
  <c r="C2" i="2" a="1"/>
  <c r="C2" i="2" s="1"/>
  <c r="E2" i="2" s="1"/>
  <c r="G2" i="2" s="1"/>
  <c r="B4" i="2" a="1"/>
  <c r="B4" i="2" s="1"/>
  <c r="C4" i="2" a="1"/>
  <c r="C4" i="2" s="1"/>
  <c r="E4" i="2" s="1"/>
  <c r="G4" i="2" s="1"/>
  <c r="B6" i="2" a="1"/>
  <c r="B6" i="2" s="1"/>
  <c r="C6" i="2" a="1"/>
  <c r="C6" i="2" s="1"/>
  <c r="E6" i="2" s="1"/>
  <c r="G6" i="2" s="1"/>
  <c r="B3" i="2" a="1"/>
  <c r="B3" i="2" s="1"/>
  <c r="C3" i="2" a="1"/>
  <c r="C3" i="2" s="1"/>
  <c r="E3" i="2" s="1"/>
  <c r="G3" i="2" s="1"/>
  <c r="B8" i="2" a="1"/>
  <c r="B8" i="2" s="1"/>
  <c r="C8" i="2" a="1"/>
  <c r="C8" i="2" s="1"/>
  <c r="E8" i="2" s="1"/>
  <c r="G8" i="2" s="1"/>
  <c r="B9" i="2" a="1"/>
  <c r="B9" i="2" s="1"/>
  <c r="C9" i="2" a="1"/>
  <c r="C9" i="2" s="1"/>
  <c r="E9" i="2" s="1"/>
  <c r="G9" i="2" s="1"/>
  <c r="B10" i="2" a="1"/>
  <c r="B10" i="2" s="1"/>
  <c r="C10" i="2" a="1"/>
  <c r="C10" i="2" s="1"/>
  <c r="E10" i="2" s="1"/>
  <c r="G10" i="2" s="1"/>
  <c r="B11" i="2" a="1"/>
  <c r="B11" i="2" s="1"/>
  <c r="C11" i="2" a="1"/>
  <c r="C11" i="2" s="1"/>
  <c r="E11" i="2" s="1"/>
  <c r="G11" i="2" s="1"/>
  <c r="B12" i="2" a="1"/>
  <c r="B12" i="2" s="1"/>
  <c r="C12" i="2" a="1"/>
  <c r="C12" i="2" s="1"/>
  <c r="E12" i="2" s="1"/>
  <c r="G12" i="2" s="1"/>
  <c r="B13" i="2" a="1"/>
  <c r="B13" i="2"/>
  <c r="C13" i="2" a="1"/>
  <c r="C13" i="2" s="1"/>
  <c r="B14" i="2" a="1"/>
  <c r="B14" i="2" s="1"/>
  <c r="C14" i="2" a="1"/>
  <c r="C14" i="2"/>
  <c r="C7" i="2" a="1"/>
  <c r="C7" i="2" s="1"/>
  <c r="E7" i="2" s="1"/>
  <c r="G7" i="2" s="1"/>
  <c r="B7" i="2" a="1"/>
  <c r="B7" i="2" s="1"/>
  <c r="G13" i="2"/>
  <c r="G14" i="2"/>
  <c r="E13" i="2"/>
  <c r="E14" i="2"/>
  <c r="D4" i="2" a="1"/>
  <c r="D4" i="2" s="1"/>
  <c r="D6" i="2" a="1"/>
  <c r="D6" i="2" s="1"/>
  <c r="D3" i="2" a="1"/>
  <c r="D3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2" i="2" a="1"/>
  <c r="D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<sst xmlns="http://schemas.openxmlformats.org/spreadsheetml/2006/main" count="44" uniqueCount="29">
  <si>
    <t>納車</t>
  </si>
  <si>
    <t>中古車購入</t>
  </si>
  <si>
    <t>プラグ交換</t>
  </si>
  <si>
    <t>納車整備</t>
  </si>
  <si>
    <t>オイル交換</t>
  </si>
  <si>
    <t>プラグコード交換</t>
  </si>
  <si>
    <t>リアタイヤ交換</t>
  </si>
  <si>
    <t>バッテリー交換</t>
  </si>
  <si>
    <t>クーラント補充</t>
  </si>
  <si>
    <t>部品番号　BB8-E7641-00</t>
    <phoneticPr fontId="2"/>
  </si>
  <si>
    <t>DURO DM1057 130/70-13 63P</t>
    <phoneticPr fontId="2"/>
  </si>
  <si>
    <t>項目</t>
    <rPh sb="0" eb="2">
      <t>コウモク</t>
    </rPh>
    <phoneticPr fontId="2"/>
  </si>
  <si>
    <t>メーター</t>
    <phoneticPr fontId="2"/>
  </si>
  <si>
    <t>日付</t>
    <rPh sb="0" eb="2">
      <t>ヒヅケ</t>
    </rPh>
    <phoneticPr fontId="2"/>
  </si>
  <si>
    <t>備考</t>
    <rPh sb="0" eb="2">
      <t>ビコウ</t>
    </rPh>
    <phoneticPr fontId="2"/>
  </si>
  <si>
    <t>オイル交換</t>
    <rPh sb="3" eb="5">
      <t>コウカン</t>
    </rPh>
    <phoneticPr fontId="2"/>
  </si>
  <si>
    <t>交換してから</t>
    <rPh sb="0" eb="2">
      <t>コウカン</t>
    </rPh>
    <phoneticPr fontId="2"/>
  </si>
  <si>
    <t>現在の走行距離</t>
    <rPh sb="0" eb="2">
      <t>ゲンザイ</t>
    </rPh>
    <rPh sb="3" eb="5">
      <t>ソウコウ</t>
    </rPh>
    <rPh sb="5" eb="7">
      <t>キョリ</t>
    </rPh>
    <phoneticPr fontId="2"/>
  </si>
  <si>
    <t>Vベルト交換</t>
    <phoneticPr fontId="2"/>
  </si>
  <si>
    <t>プラグ交換</t>
    <phoneticPr fontId="2"/>
  </si>
  <si>
    <t>交換目安</t>
    <rPh sb="0" eb="2">
      <t>コウカン</t>
    </rPh>
    <rPh sb="2" eb="4">
      <t>メヤス</t>
    </rPh>
    <phoneticPr fontId="2"/>
  </si>
  <si>
    <t>後どれぐらい？</t>
    <rPh sb="0" eb="1">
      <t>アト</t>
    </rPh>
    <phoneticPr fontId="2"/>
  </si>
  <si>
    <t>ウェイトローラー交換</t>
    <rPh sb="8" eb="10">
      <t>コウカン</t>
    </rPh>
    <phoneticPr fontId="2"/>
  </si>
  <si>
    <t>エアフィルター交換</t>
    <rPh sb="7" eb="9">
      <t>コウカン</t>
    </rPh>
    <phoneticPr fontId="2"/>
  </si>
  <si>
    <t>ブレーキフルード交換</t>
    <rPh sb="8" eb="10">
      <t>コウカン</t>
    </rPh>
    <phoneticPr fontId="2"/>
  </si>
  <si>
    <t>リアブレーキパッド交換</t>
    <rPh sb="9" eb="11">
      <t>コウカン</t>
    </rPh>
    <phoneticPr fontId="2"/>
  </si>
  <si>
    <t>フロントブレーキパッド交換</t>
    <rPh sb="11" eb="13">
      <t>コウカン</t>
    </rPh>
    <phoneticPr fontId="2"/>
  </si>
  <si>
    <t>フロントタイヤ交換</t>
    <rPh sb="7" eb="9">
      <t>コウカン</t>
    </rPh>
    <phoneticPr fontId="2"/>
  </si>
  <si>
    <t>13g　6個</t>
    <rPh sb="4" eb="6">
      <t>ロッコ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</si>
</sst>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>
      <alignment vertical="center"/>
    </xf>
    <xf numFmtId="38" fontId="0" fillId="2" borderId="1" xfId="1" applyFont="1" applyFill="1" applyBorder="1">
      <alignment vertical="center"/>
    </xf>
    <xf numFmtId="38" fontId="0" fillId="0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8" fontId="0" fillId="2" borderId="1" xfId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6AD9-D127-4B5B-B763-56339265DB49}">
  <dimension ref="A1:D18"/>
  <sheetViews>
    <sheetView workbookViewId="0">
      <selection activeCell="A19" sqref="A19"/>
    </sheetView>
  </sheetViews>
  <sheetFormatPr defaultRowHeight="18" x14ac:dyDescent="0.55000000000000004"/>
  <cols>
    <col min="1" max="1" width="11.08203125" style="4" bestFit="1" customWidth="1"/>
    <col min="2" max="2" width="12.9140625" style="3" bestFit="1" customWidth="1"/>
    <col min="3" max="3" width="20.08203125" style="2" bestFit="1" customWidth="1"/>
    <col min="4" max="4" width="28.1640625" style="2" bestFit="1" customWidth="1"/>
  </cols>
  <sheetData>
    <row r="1" spans="1:4" x14ac:dyDescent="0.55000000000000004">
      <c r="A1" s="5" t="s">
        <v>13</v>
      </c>
      <c r="B1" s="6" t="s">
        <v>12</v>
      </c>
      <c r="C1" s="7" t="s">
        <v>11</v>
      </c>
      <c r="D1" s="7" t="s">
        <v>14</v>
      </c>
    </row>
    <row r="2" spans="1:4" x14ac:dyDescent="0.55000000000000004">
      <c r="A2" s="4">
        <v>45778</v>
      </c>
      <c r="B2" s="3">
        <v>47249</v>
      </c>
      <c r="C2" s="2" t="s">
        <v>0</v>
      </c>
      <c r="D2" s="2" t="s">
        <v>1</v>
      </c>
    </row>
    <row r="3" spans="1:4" x14ac:dyDescent="0.55000000000000004">
      <c r="A3" s="4">
        <v>45778</v>
      </c>
      <c r="B3" s="3">
        <v>47249</v>
      </c>
      <c r="C3" s="2" t="s">
        <v>19</v>
      </c>
      <c r="D3" s="2" t="s">
        <v>3</v>
      </c>
    </row>
    <row r="4" spans="1:4" x14ac:dyDescent="0.55000000000000004">
      <c r="A4" s="4">
        <v>45778</v>
      </c>
      <c r="B4" s="3">
        <v>47249</v>
      </c>
      <c r="C4" s="2" t="s">
        <v>4</v>
      </c>
      <c r="D4" s="2" t="s">
        <v>3</v>
      </c>
    </row>
    <row r="5" spans="1:4" x14ac:dyDescent="0.55000000000000004">
      <c r="A5" s="4">
        <v>45824</v>
      </c>
      <c r="B5" s="3">
        <v>50287</v>
      </c>
      <c r="C5" s="2" t="s">
        <v>4</v>
      </c>
    </row>
    <row r="6" spans="1:4" x14ac:dyDescent="0.55000000000000004">
      <c r="A6" s="4">
        <v>45826</v>
      </c>
      <c r="B6" s="3">
        <v>50572</v>
      </c>
      <c r="C6" s="2" t="s">
        <v>18</v>
      </c>
      <c r="D6" s="2" t="s">
        <v>9</v>
      </c>
    </row>
    <row r="7" spans="1:4" x14ac:dyDescent="0.55000000000000004">
      <c r="A7" s="4">
        <v>45840</v>
      </c>
      <c r="B7" s="3">
        <v>51653</v>
      </c>
      <c r="C7" s="2" t="s">
        <v>5</v>
      </c>
    </row>
    <row r="8" spans="1:4" x14ac:dyDescent="0.55000000000000004">
      <c r="A8" s="4">
        <v>45851</v>
      </c>
      <c r="B8" s="3">
        <v>52759</v>
      </c>
      <c r="C8" s="2" t="s">
        <v>4</v>
      </c>
    </row>
    <row r="9" spans="1:4" x14ac:dyDescent="0.55000000000000004">
      <c r="A9" s="4">
        <v>45876</v>
      </c>
      <c r="B9" s="3">
        <v>54760</v>
      </c>
      <c r="C9" s="2" t="s">
        <v>4</v>
      </c>
    </row>
    <row r="10" spans="1:4" x14ac:dyDescent="0.55000000000000004">
      <c r="A10" s="4">
        <v>45916</v>
      </c>
      <c r="B10" s="3">
        <v>57425</v>
      </c>
      <c r="C10" s="2" t="s">
        <v>6</v>
      </c>
      <c r="D10" s="2" t="s">
        <v>10</v>
      </c>
    </row>
    <row r="11" spans="1:4" x14ac:dyDescent="0.55000000000000004">
      <c r="A11" s="4">
        <v>45920</v>
      </c>
      <c r="B11" s="3">
        <v>57429</v>
      </c>
      <c r="C11" s="2" t="s">
        <v>7</v>
      </c>
    </row>
    <row r="12" spans="1:4" x14ac:dyDescent="0.55000000000000004">
      <c r="A12" s="4">
        <v>45926</v>
      </c>
      <c r="B12" s="3">
        <v>57842</v>
      </c>
      <c r="C12" s="2" t="s">
        <v>4</v>
      </c>
    </row>
    <row r="13" spans="1:4" x14ac:dyDescent="0.55000000000000004">
      <c r="A13" s="4">
        <v>45950</v>
      </c>
      <c r="B13" s="3">
        <v>60080</v>
      </c>
      <c r="C13" s="2" t="s">
        <v>4</v>
      </c>
    </row>
    <row r="14" spans="1:4" x14ac:dyDescent="0.55000000000000004">
      <c r="A14" s="4">
        <v>46010</v>
      </c>
      <c r="B14" s="3">
        <v>62344</v>
      </c>
      <c r="C14" s="2" t="s">
        <v>4</v>
      </c>
    </row>
    <row r="15" spans="1:4" x14ac:dyDescent="0.55000000000000004">
      <c r="A15" s="4">
        <v>46010</v>
      </c>
      <c r="B15" s="3">
        <v>62375</v>
      </c>
      <c r="C15" s="2" t="s">
        <v>8</v>
      </c>
    </row>
    <row r="16" spans="1:4" x14ac:dyDescent="0.55000000000000004">
      <c r="A16" s="4">
        <v>46025</v>
      </c>
      <c r="B16" s="3">
        <v>63335</v>
      </c>
      <c r="C16" s="2" t="s">
        <v>4</v>
      </c>
    </row>
    <row r="17" spans="1:4" x14ac:dyDescent="0.55000000000000004">
      <c r="A17" s="4">
        <v>46025</v>
      </c>
      <c r="B17" s="3">
        <v>63335</v>
      </c>
      <c r="C17" s="2" t="s">
        <v>2</v>
      </c>
    </row>
    <row r="18" spans="1:4" x14ac:dyDescent="0.55000000000000004">
      <c r="A18" s="4">
        <v>46055</v>
      </c>
      <c r="B18" s="3">
        <v>65090</v>
      </c>
      <c r="C18" s="2" t="s">
        <v>22</v>
      </c>
      <c r="D18" s="2" t="s">
        <v>28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A54-BF13-475D-8C74-302D5E74D610}">
  <dimension ref="A1:J14"/>
  <sheetViews>
    <sheetView tabSelected="1" workbookViewId="0">
      <selection activeCell="D2" sqref="D2"/>
    </sheetView>
  </sheetViews>
  <sheetFormatPr defaultRowHeight="18" x14ac:dyDescent="0.55000000000000004"/>
  <cols>
    <col min="1" max="1" width="26" bestFit="1" customWidth="1"/>
    <col min="2" max="2" width="11.08203125" bestFit="1" customWidth="1"/>
    <col min="4" max="4" width="28.1640625" bestFit="1" customWidth="1"/>
    <col min="5" max="5" width="14.33203125" style="1" bestFit="1" customWidth="1"/>
    <col min="6" max="6" width="14.33203125" style="1" customWidth="1"/>
    <col min="7" max="7" width="14.25" style="1" bestFit="1" customWidth="1"/>
    <col min="9" max="9" width="14.33203125" bestFit="1" customWidth="1"/>
  </cols>
  <sheetData>
    <row r="1" spans="1:10" x14ac:dyDescent="0.55000000000000004">
      <c r="A1" s="12"/>
      <c r="B1" s="7" t="s">
        <v>13</v>
      </c>
      <c r="C1" s="7" t="s">
        <v>12</v>
      </c>
      <c r="D1" s="7" t="s">
        <v>14</v>
      </c>
      <c r="E1" s="11" t="s">
        <v>16</v>
      </c>
      <c r="F1" s="13" t="s">
        <v>20</v>
      </c>
      <c r="G1" s="11" t="s">
        <v>21</v>
      </c>
    </row>
    <row r="2" spans="1:10" x14ac:dyDescent="0.55000000000000004">
      <c r="A2" s="9" t="s">
        <v>15</v>
      </c>
      <c r="B2" s="4" cm="1">
        <f t="array" ref="B2">IF(A2="","",_xlfn.LET(
_xlpm.key,$A2,
_xlpm.d,整備一覧!$A$2:$A$10000,
_xlpm.m,整備一覧!$B$2:$B$10000,
_xlpm.i,整備一覧!$C$2:$C$10000,
_xlpm.last,MAX(_xlfn._xlws.FILTER(_xlpm.d,_xlpm.i=_xlpm.key)),
_xlpm.last
))</f>
        <v>46025</v>
      </c>
      <c r="C2" s="3" cm="1">
        <f t="array" ref="C2">IF(A2="","",_xlfn.LET(
_xlpm.key,$A2,
_xlpm.d,整備一覧!$A$2:$A$10000,
_xlpm.m,整備一覧!$B$2:$B$10000,
_xlpm.i,整備一覧!$C$2:$C$10000,
_xlpm.last,MAX(_xlfn._xlws.FILTER(_xlpm.d,_xlpm.i=_xlpm.key)),
_xlfn.XLOOKUP(1,(_xlpm.i=_xlpm.key)*(_xlpm.d=_xlpm.last),_xlpm.m)
))</f>
        <v>63335</v>
      </c>
      <c r="D2" s="8" t="str" cm="1">
        <f t="array" ref="D2">_xlfn.LET(
_xlpm.key,$A2,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/>
      </c>
      <c r="E2" s="3">
        <f t="shared" ref="E2:E6" si="0">IF(A2="","", $J$2 - C2)</f>
        <v>1755</v>
      </c>
      <c r="F2" s="10">
        <v>1500</v>
      </c>
      <c r="G2" s="3">
        <f t="shared" ref="G2:G6" si="1">IF(A2="","",F2-E2)</f>
        <v>-255</v>
      </c>
      <c r="I2" s="3" t="s">
        <v>17</v>
      </c>
      <c r="J2" s="10">
        <v>65090</v>
      </c>
    </row>
    <row r="3" spans="1:10" x14ac:dyDescent="0.55000000000000004">
      <c r="A3" s="9" t="s">
        <v>19</v>
      </c>
      <c r="B3" s="4" cm="1">
        <f t="array" ref="B3">IF(A3="","",_xlfn.LET(
_xlpm.key,$A3,
_xlpm.d,整備一覧!$A$2:$A$10000,
_xlpm.m,整備一覧!$B$2:$B$10000,
_xlpm.i,整備一覧!$C$2:$C$10000,
_xlpm.last,MAX(_xlfn._xlws.FILTER(_xlpm.d,_xlpm.i=_xlpm.key)),
_xlpm.last
))</f>
        <v>46025</v>
      </c>
      <c r="C3" s="3" cm="1">
        <f t="array" ref="C3">IF(A3="","",_xlfn.LET(
_xlpm.key,$A3,
_xlpm.d,整備一覧!$A$2:$A$10000,
_xlpm.m,整備一覧!$B$2:$B$10000,
_xlpm.i,整備一覧!$C$2:$C$10000,
_xlpm.last,MAX(_xlfn._xlws.FILTER(_xlpm.d,_xlpm.i=_xlpm.key)),
_xlfn.XLOOKUP(1,(_xlpm.i=_xlpm.key)*(_xlpm.d=_xlpm.last),_xlpm.m)
))</f>
        <v>63335</v>
      </c>
      <c r="D3" s="8" t="str" cm="1">
        <f t="array" ref="D3">_xlfn.LET(
_xlpm.key,$A3,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/>
      </c>
      <c r="E3" s="3">
        <f>IF(A3="","", $J$2 - C3)</f>
        <v>1755</v>
      </c>
      <c r="F3" s="10">
        <v>3000</v>
      </c>
      <c r="G3" s="3">
        <f>IF(A3="","",F3-E3)</f>
        <v>1245</v>
      </c>
    </row>
    <row r="4" spans="1:10" x14ac:dyDescent="0.55000000000000004">
      <c r="A4" s="9" t="s">
        <v>6</v>
      </c>
      <c r="B4" s="4" cm="1">
        <f t="array" ref="B4">IF(A4="","",_xlfn.LET(
_xlpm.key,$A4,
_xlpm.d,整備一覧!$A$2:$A$10000,
_xlpm.m,整備一覧!$B$2:$B$10000,
_xlpm.i,整備一覧!$C$2:$C$10000,
_xlpm.last,MAX(_xlfn._xlws.FILTER(_xlpm.d,_xlpm.i=_xlpm.key)),
_xlpm.last
))</f>
        <v>45916</v>
      </c>
      <c r="C4" s="3" cm="1">
        <f t="array" ref="C4">IF(A4="","",_xlfn.LET(
_xlpm.key,$A4,
_xlpm.d,整備一覧!$A$2:$A$10000,
_xlpm.m,整備一覧!$B$2:$B$10000,
_xlpm.i,整備一覧!$C$2:$C$10000,
_xlpm.last,MAX(_xlfn._xlws.FILTER(_xlpm.d,_xlpm.i=_xlpm.key)),
_xlfn.XLOOKUP(1,(_xlpm.i=_xlpm.key)*(_xlpm.d=_xlpm.last),_xlpm.m)
))</f>
        <v>57425</v>
      </c>
      <c r="D4" s="8" t="str" cm="1">
        <f t="array" ref="D4">_xlfn.LET(
_xlpm.key,$A4,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DURO DM1057 130/70-13 63P</v>
      </c>
      <c r="E4" s="3">
        <f t="shared" si="0"/>
        <v>7665</v>
      </c>
      <c r="F4" s="10">
        <v>10000</v>
      </c>
      <c r="G4" s="3">
        <f t="shared" si="1"/>
        <v>2335</v>
      </c>
    </row>
    <row r="5" spans="1:10" x14ac:dyDescent="0.55000000000000004">
      <c r="A5" s="9" t="s">
        <v>27</v>
      </c>
      <c r="B5" s="4" t="e" cm="1" vm="1">
        <f t="array" ref="B5">IF(A5="","",_xlfn.LET(
_xlpm.key,$A5,
_xlpm.d,整備一覧!$A$2:$A$10000,
_xlpm.m,整備一覧!$B$2:$B$10000,
_xlpm.i,整備一覧!$C$2:$C$10000,
_xlpm.last,MAX(_xlfn._xlws.FILTER(_xlpm.d,_xlpm.i=_xlpm.key)),
_xlpm.last
))</f>
        <v>#VALUE!</v>
      </c>
      <c r="C5" s="3" t="e" cm="1">
        <f t="array" ref="C5">IF(A5="","",_xlfn.LET(
_xlpm.key,$A5,
_xlpm.d,整備一覧!$A$2:$A$10000,
_xlpm.m,整備一覧!$B$2:$B$10000,
_xlpm.i,整備一覧!$C$2:$C$10000,
_xlpm.last,MAX(_xlfn._xlws.FILTER(_xlpm.d,_xlpm.i=_xlpm.key)),
_xlfn.XLOOKUP(1,(_xlpm.i=_xlpm.key)*(_xlpm.d=_xlpm.last),_xlpm.m)
))</f>
        <v>#N/A</v>
      </c>
      <c r="D5" s="8" t="e" cm="1">
        <f t="array" ref="D5">_xlfn.LET(
_xlpm.key,$A5,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#N/A</v>
      </c>
      <c r="E5" s="3" t="e">
        <f t="shared" si="0"/>
        <v>#N/A</v>
      </c>
      <c r="F5" s="10"/>
      <c r="G5" s="3" t="e">
        <f t="shared" si="1"/>
        <v>#N/A</v>
      </c>
    </row>
    <row r="6" spans="1:10" x14ac:dyDescent="0.55000000000000004">
      <c r="A6" s="9" t="s">
        <v>18</v>
      </c>
      <c r="B6" s="4" cm="1">
        <f t="array" ref="B6">IF(A6="","",_xlfn.LET(
_xlpm.key,$A6,
_xlpm.d,整備一覧!$A$2:$A$10000,
_xlpm.m,整備一覧!$B$2:$B$10000,
_xlpm.i,整備一覧!$C$2:$C$10000,
_xlpm.last,MAX(_xlfn._xlws.FILTER(_xlpm.d,_xlpm.i=_xlpm.key)),
_xlpm.last
))</f>
        <v>45826</v>
      </c>
      <c r="C6" s="3" cm="1">
        <f t="array" ref="C6">IF(A6="","",_xlfn.LET(
_xlpm.key,$A6,
_xlpm.d,整備一覧!$A$2:$A$10000,
_xlpm.m,整備一覧!$B$2:$B$10000,
_xlpm.i,整備一覧!$C$2:$C$10000,
_xlpm.last,MAX(_xlfn._xlws.FILTER(_xlpm.d,_xlpm.i=_xlpm.key)),
_xlfn.XLOOKUP(1,(_xlpm.i=_xlpm.key)*(_xlpm.d=_xlpm.last),_xlpm.m)
))</f>
        <v>50572</v>
      </c>
      <c r="D6" s="8" t="str" cm="1">
        <f t="array" ref="D6">_xlfn.LET(
_xlpm.key,$A6,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部品番号　BB8-E7641-00</v>
      </c>
      <c r="E6" s="3">
        <f t="shared" si="0"/>
        <v>14518</v>
      </c>
      <c r="F6" s="10">
        <v>20000</v>
      </c>
      <c r="G6" s="3">
        <f t="shared" si="1"/>
        <v>5482</v>
      </c>
    </row>
    <row r="7" spans="1:10" x14ac:dyDescent="0.55000000000000004">
      <c r="A7" s="9" t="s">
        <v>22</v>
      </c>
      <c r="B7" s="4" cm="1">
        <f t="array" ref="B7">IF(A7="","",_xlfn.LET(
_xlpm.key,$A7,
_xlpm.d,整備一覧!$A$2:$A$10000,
_xlpm.m,整備一覧!$B$2:$B$10000,
_xlpm.i,整備一覧!$C$2:$C$10000,
_xlpm.last,MAX(_xlfn._xlws.FILTER(_xlpm.d,_xlpm.i=_xlpm.key)),
_xlpm.last
))</f>
        <v>46055</v>
      </c>
      <c r="C7" s="3" cm="1">
        <f t="array" ref="C7">IF(A7="","",_xlfn.LET(
_xlpm.key,$A7,
_xlpm.d,整備一覧!$A$2:$A$10000,
_xlpm.m,整備一覧!$B$2:$B$10000,
_xlpm.i,整備一覧!$C$2:$C$10000,
_xlpm.last,MAX(_xlfn._xlws.FILTER(_xlpm.d,_xlpm.i=_xlpm.key)),
_xlfn.XLOOKUP(1,(_xlpm.i=_xlpm.key)*(_xlpm.d=_xlpm.last),_xlpm.m)
))</f>
        <v>65090</v>
      </c>
      <c r="D7" s="8" t="str" cm="1">
        <f t="array" ref="D7">_xlfn.LET(
_xlpm.key,$A7,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13g　6個</v>
      </c>
      <c r="E7" s="3">
        <f>IF(A7="","", $J$2 - C7)</f>
        <v>0</v>
      </c>
      <c r="F7" s="10">
        <v>5000</v>
      </c>
      <c r="G7" s="3">
        <f>IF(A7="","",F7-E7)</f>
        <v>5000</v>
      </c>
    </row>
    <row r="8" spans="1:10" x14ac:dyDescent="0.55000000000000004">
      <c r="A8" s="9" t="s">
        <v>23</v>
      </c>
      <c r="B8" s="4" t="e" cm="1" vm="1">
        <f t="array" ref="B8">IF(A8="","",_xlfn.LET(
_xlpm.key,$A8,
_xlpm.d,整備一覧!$A$2:$A$10000,
_xlpm.m,整備一覧!$B$2:$B$10000,
_xlpm.i,整備一覧!$C$2:$C$10000,
_xlpm.last,MAX(_xlfn._xlws.FILTER(_xlpm.d,_xlpm.i=_xlpm.key)),
_xlpm.last
))</f>
        <v>#VALUE!</v>
      </c>
      <c r="C8" s="3" t="e" cm="1">
        <f t="array" ref="C8">IF(A8="","",_xlfn.LET(
_xlpm.key,$A8,
_xlpm.d,整備一覧!$A$2:$A$10000,
_xlpm.m,整備一覧!$B$2:$B$10000,
_xlpm.i,整備一覧!$C$2:$C$10000,
_xlpm.last,MAX(_xlfn._xlws.FILTER(_xlpm.d,_xlpm.i=_xlpm.key)),
_xlfn.XLOOKUP(1,(_xlpm.i=_xlpm.key)*(_xlpm.d=_xlpm.last),_xlpm.m)
))</f>
        <v>#N/A</v>
      </c>
      <c r="D8" s="8" t="e" cm="1">
        <f t="array" ref="D8">_xlfn.LET(
_xlpm.key,$A8,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#N/A</v>
      </c>
      <c r="E8" s="3" t="e">
        <f t="shared" ref="E8:E14" si="2">IF(A8="","", $J$2 - C8)</f>
        <v>#N/A</v>
      </c>
      <c r="F8" s="10"/>
      <c r="G8" s="3" t="e">
        <f t="shared" ref="G8:G14" si="3">IF(A8="","",F8-E8)</f>
        <v>#N/A</v>
      </c>
    </row>
    <row r="9" spans="1:10" x14ac:dyDescent="0.55000000000000004">
      <c r="A9" s="9" t="s">
        <v>24</v>
      </c>
      <c r="B9" s="4" t="e" cm="1" vm="1">
        <f t="array" ref="B9">IF(A9="","",_xlfn.LET(
_xlpm.key,$A9,
_xlpm.d,整備一覧!$A$2:$A$10000,
_xlpm.m,整備一覧!$B$2:$B$10000,
_xlpm.i,整備一覧!$C$2:$C$10000,
_xlpm.last,MAX(_xlfn._xlws.FILTER(_xlpm.d,_xlpm.i=_xlpm.key)),
_xlpm.last
))</f>
        <v>#VALUE!</v>
      </c>
      <c r="C9" s="3" t="e" cm="1">
        <f t="array" ref="C9">IF(A9="","",_xlfn.LET(
_xlpm.key,$A9,
_xlpm.d,整備一覧!$A$2:$A$10000,
_xlpm.m,整備一覧!$B$2:$B$10000,
_xlpm.i,整備一覧!$C$2:$C$10000,
_xlpm.last,MAX(_xlfn._xlws.FILTER(_xlpm.d,_xlpm.i=_xlpm.key)),
_xlfn.XLOOKUP(1,(_xlpm.i=_xlpm.key)*(_xlpm.d=_xlpm.last),_xlpm.m)
))</f>
        <v>#N/A</v>
      </c>
      <c r="D9" s="8" t="e" cm="1">
        <f t="array" ref="D9">_xlfn.LET(
_xlpm.key,$A9,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#N/A</v>
      </c>
      <c r="E9" s="3" t="e">
        <f t="shared" si="2"/>
        <v>#N/A</v>
      </c>
      <c r="F9" s="10"/>
      <c r="G9" s="3" t="e">
        <f t="shared" si="3"/>
        <v>#N/A</v>
      </c>
    </row>
    <row r="10" spans="1:10" x14ac:dyDescent="0.55000000000000004">
      <c r="A10" s="9" t="s">
        <v>25</v>
      </c>
      <c r="B10" s="4" t="e" cm="1" vm="1">
        <f t="array" ref="B10">IF(A10="","",_xlfn.LET(
_xlpm.key,$A10,
_xlpm.d,整備一覧!$A$2:$A$10000,
_xlpm.m,整備一覧!$B$2:$B$10000,
_xlpm.i,整備一覧!$C$2:$C$10000,
_xlpm.last,MAX(_xlfn._xlws.FILTER(_xlpm.d,_xlpm.i=_xlpm.key)),
_xlpm.last
))</f>
        <v>#VALUE!</v>
      </c>
      <c r="C10" s="3" t="e" cm="1">
        <f t="array" ref="C10">IF(A10="","",_xlfn.LET(
_xlpm.key,$A10,
_xlpm.d,整備一覧!$A$2:$A$10000,
_xlpm.m,整備一覧!$B$2:$B$10000,
_xlpm.i,整備一覧!$C$2:$C$10000,
_xlpm.last,MAX(_xlfn._xlws.FILTER(_xlpm.d,_xlpm.i=_xlpm.key)),
_xlfn.XLOOKUP(1,(_xlpm.i=_xlpm.key)*(_xlpm.d=_xlpm.last),_xlpm.m)
))</f>
        <v>#N/A</v>
      </c>
      <c r="D10" s="8" t="e" cm="1">
        <f t="array" ref="D10">_xlfn.LET(
_xlpm.key,$A10,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#N/A</v>
      </c>
      <c r="E10" s="3" t="e">
        <f t="shared" si="2"/>
        <v>#N/A</v>
      </c>
      <c r="F10" s="10"/>
      <c r="G10" s="3" t="e">
        <f t="shared" si="3"/>
        <v>#N/A</v>
      </c>
    </row>
    <row r="11" spans="1:10" x14ac:dyDescent="0.55000000000000004">
      <c r="A11" s="9" t="s">
        <v>26</v>
      </c>
      <c r="B11" s="4" t="e" cm="1" vm="1">
        <f t="array" ref="B11">IF(A11="","",_xlfn.LET(
_xlpm.key,$A11,
_xlpm.d,整備一覧!$A$2:$A$10000,
_xlpm.m,整備一覧!$B$2:$B$10000,
_xlpm.i,整備一覧!$C$2:$C$10000,
_xlpm.last,MAX(_xlfn._xlws.FILTER(_xlpm.d,_xlpm.i=_xlpm.key)),
_xlpm.last
))</f>
        <v>#VALUE!</v>
      </c>
      <c r="C11" s="3" t="e" cm="1">
        <f t="array" ref="C11">IF(A11="","",_xlfn.LET(
_xlpm.key,$A11,
_xlpm.d,整備一覧!$A$2:$A$10000,
_xlpm.m,整備一覧!$B$2:$B$10000,
_xlpm.i,整備一覧!$C$2:$C$10000,
_xlpm.last,MAX(_xlfn._xlws.FILTER(_xlpm.d,_xlpm.i=_xlpm.key)),
_xlfn.XLOOKUP(1,(_xlpm.i=_xlpm.key)*(_xlpm.d=_xlpm.last),_xlpm.m)
))</f>
        <v>#N/A</v>
      </c>
      <c r="D11" s="8" t="e" cm="1">
        <f t="array" ref="D11">_xlfn.LET(
_xlpm.key,$A11,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>#N/A</v>
      </c>
      <c r="E11" s="3" t="e">
        <f t="shared" si="2"/>
        <v>#N/A</v>
      </c>
      <c r="F11" s="10"/>
      <c r="G11" s="3" t="e">
        <f t="shared" si="3"/>
        <v>#N/A</v>
      </c>
    </row>
    <row r="12" spans="1:10" x14ac:dyDescent="0.55000000000000004">
      <c r="A12" s="9"/>
      <c r="B12" s="4" t="str" cm="1">
        <f t="array" ref="B12">IF(A12="","",_xlfn.LET(
_xlpm.key,$A12,
_xlpm.d,整備一覧!$A$2:$A$10000,
_xlpm.m,整備一覧!$B$2:$B$10000,
_xlpm.i,整備一覧!$C$2:$C$10000,
_xlpm.last,MAX(_xlfn._xlws.FILTER(_xlpm.d,_xlpm.i=_xlpm.key)),
_xlpm.last
))</f>
        <v/>
      </c>
      <c r="C12" s="3" t="str" cm="1">
        <f t="array" ref="C12">IF(A12="","",_xlfn.LET(
_xlpm.key,$A12,
_xlpm.d,整備一覧!$A$2:$A$10000,
_xlpm.m,整備一覧!$B$2:$B$10000,
_xlpm.i,整備一覧!$C$2:$C$10000,
_xlpm.last,MAX(_xlfn._xlws.FILTER(_xlpm.d,_xlpm.i=_xlpm.key)),
_xlfn.XLOOKUP(1,(_xlpm.i=_xlpm.key)*(_xlpm.d=_xlpm.last),_xlpm.m)
))</f>
        <v/>
      </c>
      <c r="D12" s="8" t="str" cm="1">
        <f t="array" ref="D12">_xlfn.LET(
_xlpm.key,$A12,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/>
      </c>
      <c r="E12" s="3" t="str">
        <f t="shared" si="2"/>
        <v/>
      </c>
      <c r="F12" s="10"/>
      <c r="G12" s="3" t="str">
        <f t="shared" si="3"/>
        <v/>
      </c>
    </row>
    <row r="13" spans="1:10" x14ac:dyDescent="0.55000000000000004">
      <c r="A13" s="9"/>
      <c r="B13" s="4" t="str" cm="1">
        <f t="array" ref="B13">IF(A13="","",_xlfn.LET(
_xlpm.key,$A13,
_xlpm.d,整備一覧!$A$2:$A$10000,
_xlpm.m,整備一覧!$B$2:$B$10000,
_xlpm.i,整備一覧!$C$2:$C$10000,
_xlpm.last,MAX(_xlfn._xlws.FILTER(_xlpm.d,_xlpm.i=_xlpm.key)),
_xlpm.last
))</f>
        <v/>
      </c>
      <c r="C13" s="3" t="str" cm="1">
        <f t="array" ref="C13">IF(A13="","",_xlfn.LET(
_xlpm.key,$A13,
_xlpm.d,整備一覧!$A$2:$A$10000,
_xlpm.m,整備一覧!$B$2:$B$10000,
_xlpm.i,整備一覧!$C$2:$C$10000,
_xlpm.last,MAX(_xlfn._xlws.FILTER(_xlpm.d,_xlpm.i=_xlpm.key)),
_xlfn.XLOOKUP(1,(_xlpm.i=_xlpm.key)*(_xlpm.d=_xlpm.last),_xlpm.m)
))</f>
        <v/>
      </c>
      <c r="D13" s="8" t="str" cm="1">
        <f t="array" ref="D13">_xlfn.LET(
_xlpm.key,$A13,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/>
      </c>
      <c r="E13" s="3" t="str">
        <f t="shared" si="2"/>
        <v/>
      </c>
      <c r="F13" s="10"/>
      <c r="G13" s="3" t="str">
        <f t="shared" si="3"/>
        <v/>
      </c>
    </row>
    <row r="14" spans="1:10" x14ac:dyDescent="0.55000000000000004">
      <c r="A14" s="9"/>
      <c r="B14" s="4" t="str" cm="1">
        <f t="array" ref="B14">IF(A14="","",_xlfn.LET(
_xlpm.key,$A14,
_xlpm.d,整備一覧!$A$2:$A$10000,
_xlpm.m,整備一覧!$B$2:$B$10000,
_xlpm.i,整備一覧!$C$2:$C$10000,
_xlpm.last,MAX(_xlfn._xlws.FILTER(_xlpm.d,_xlpm.i=_xlpm.key)),
_xlpm.last
))</f>
        <v/>
      </c>
      <c r="C14" s="3" t="str" cm="1">
        <f t="array" ref="C14">IF(A14="","",_xlfn.LET(
_xlpm.key,$A14,
_xlpm.d,整備一覧!$A$2:$A$10000,
_xlpm.m,整備一覧!$B$2:$B$10000,
_xlpm.i,整備一覧!$C$2:$C$10000,
_xlpm.last,MAX(_xlfn._xlws.FILTER(_xlpm.d,_xlpm.i=_xlpm.key)),
_xlfn.XLOOKUP(1,(_xlpm.i=_xlpm.key)*(_xlpm.d=_xlpm.last),_xlpm.m)
))</f>
        <v/>
      </c>
      <c r="D14" s="8" t="str" cm="1">
        <f t="array" ref="D14">_xlfn.LET(
_xlpm.key,$A14,
_xlpm.d,整備一覧!$A$2:$A$10000,
_xlpm.r,整備一覧!$D$2:$D$10000,
_xlpm.i,整備一覧!$C$2:$C$10000,
_xlpm.last,MAX(_xlfn._xlws.FILTER(_xlpm.d,_xlpm.i=_xlpm.key)),
_xlpm.note,_xlfn.XLOOKUP(1,(_xlpm.i=_xlpm.key)*(_xlpm.d=_xlpm.last),_xlpm.r),
IF(_xlpm.note="","",_xlpm.note)
)</f>
        <v/>
      </c>
      <c r="E14" s="3" t="str">
        <f t="shared" si="2"/>
        <v/>
      </c>
      <c r="F14" s="10"/>
      <c r="G14" s="3" t="str">
        <f t="shared" si="3"/>
        <v/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整備一覧</vt:lpstr>
      <vt:lpstr>直近交換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伊織 小松</dc:creator>
  <cp:lastModifiedBy>小松　伊織</cp:lastModifiedBy>
  <dcterms:created xsi:type="dcterms:W3CDTF">2026-01-07T00:18:39Z</dcterms:created>
  <dcterms:modified xsi:type="dcterms:W3CDTF">2026-02-02T06:19:19Z</dcterms:modified>
</cp:coreProperties>
</file>